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用被动配置生成器" sheetId="1" state="visible" r:id="rId1"/>
    <sheet xmlns:r="http://schemas.openxmlformats.org/officeDocument/2006/relationships" name="元素被动配置生成器" sheetId="2" state="visible" r:id="rId2"/>
    <sheet xmlns:r="http://schemas.openxmlformats.org/officeDocument/2006/relationships" name="通用被动速查" sheetId="3" state="visible" r:id="rId3"/>
    <sheet xmlns:r="http://schemas.openxmlformats.org/officeDocument/2006/relationships" name="元素被动速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1F3864"/>
      <sz val="16"/>
    </font>
    <font>
      <name val="微软雅黑"/>
      <color rgb="00595959"/>
      <sz val="10"/>
    </font>
    <font>
      <name val="微软雅黑"/>
      <b val="1"/>
      <color rgb="00FFFFFF"/>
      <sz val="12"/>
    </font>
    <font>
      <name val="微软雅黑"/>
      <color rgb="00FFFFFF"/>
      <sz val="9"/>
    </font>
    <font>
      <name val="微软雅黑"/>
      <b val="1"/>
      <color rgb="00FFFFFF"/>
      <sz val="10"/>
    </font>
    <font>
      <name val="Consolas"/>
      <b val="1"/>
      <color rgb="001F3864"/>
      <sz val="10"/>
    </font>
    <font>
      <name val="微软雅黑"/>
      <b val="1"/>
      <sz val="10"/>
    </font>
    <font>
      <name val="Consolas"/>
      <b val="1"/>
      <color rgb="00006100"/>
      <sz val="10"/>
    </font>
    <font>
      <name val="微软雅黑"/>
      <color rgb="00222222"/>
      <sz val="10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5B9BD5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3" borderId="0" pivotButton="0" quotePrefix="0" xfId="0"/>
    <xf numFmtId="0" fontId="5" fillId="4" borderId="1" applyAlignment="1" pivotButton="0" quotePrefix="0" xfId="0">
      <alignment horizontal="center" vertical="center"/>
    </xf>
    <xf numFmtId="0" fontId="6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7" borderId="1" applyAlignment="1" pivotButton="0" quotePrefix="0" xfId="0">
      <alignment horizontal="center" vertical="center"/>
    </xf>
    <xf numFmtId="0" fontId="0" fillId="7" borderId="4" pivotButton="0" quotePrefix="0" xfId="0"/>
    <xf numFmtId="0" fontId="0" fillId="7" borderId="5" pivotButton="0" quotePrefix="0" xfId="0"/>
    <xf numFmtId="0" fontId="8" fillId="7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0" customWidth="1" min="4" max="4"/>
    <col width="46" customWidth="1" min="5" max="5"/>
  </cols>
  <sheetData>
    <row r="1">
      <c r="A1" s="1" t="inlineStr">
        <is>
          <t>通用被动配置生成器</t>
        </is>
      </c>
    </row>
    <row r="2">
      <c r="A2" s="2" t="inlineStr">
        <is>
          <t>使用说明：在【填写值】列（黄色底）填数值，下方【jsonParams】自动生成配置 JSON；把 className 和 jsonParams 分别复制到 Unity 的 PassiveConfig 即可。</t>
        </is>
      </c>
    </row>
    <row r="3">
      <c r="A3" s="2" t="inlineStr">
        <is>
          <t>bool 字段直接填 true 或 false（有下拉可选）；enum 字段下拉选择后 jsonParams 会自动带引号（如 kind 的 "True"）。</t>
        </is>
      </c>
    </row>
    <row r="5">
      <c r="A5" s="3" t="inlineStr">
        <is>
          <t>◆ 附加伤害  ExtraDamagePassive</t>
        </is>
      </c>
      <c r="B5" s="4" t="n"/>
      <c r="C5" s="4" t="n"/>
      <c r="D5" s="4" t="n"/>
      <c r="E5" s="5" t="inlineStr">
        <is>
          <t>攻击时追加一段独立伤害 +amount，kind 决定类型：物理吃防御减伤/触发反甲，魔法/真实不吃（默认真实）</t>
        </is>
      </c>
    </row>
    <row r="6">
      <c r="A6" s="6" t="inlineStr">
        <is>
          <t>参数</t>
        </is>
      </c>
      <c r="B6" s="6" t="inlineStr">
        <is>
          <t>类型</t>
        </is>
      </c>
      <c r="C6" s="6" t="inlineStr">
        <is>
          <t>填写值</t>
        </is>
      </c>
      <c r="D6" s="6" t="inlineStr">
        <is>
          <t>默认值</t>
        </is>
      </c>
      <c r="E6" s="6" t="inlineStr">
        <is>
          <t>说明</t>
        </is>
      </c>
    </row>
    <row r="7">
      <c r="A7" s="7" t="inlineStr">
        <is>
          <t>amount</t>
        </is>
      </c>
      <c r="B7" s="8" t="inlineStr">
        <is>
          <t>int</t>
        </is>
      </c>
      <c r="C7" s="9" t="n">
        <v>3</v>
      </c>
      <c r="D7" s="10" t="n">
        <v>3</v>
      </c>
      <c r="E7" s="11" t="inlineStr">
        <is>
          <t>额外伤害数值</t>
        </is>
      </c>
    </row>
    <row r="8">
      <c r="A8" s="7" t="inlineStr">
        <is>
          <t>kind</t>
        </is>
      </c>
      <c r="B8" s="8" t="inlineStr">
        <is>
          <t>enum_kind</t>
        </is>
      </c>
      <c r="C8" s="9" t="inlineStr">
        <is>
          <t>True</t>
        </is>
      </c>
      <c r="D8" s="10" t="inlineStr">
        <is>
          <t>True</t>
        </is>
      </c>
      <c r="E8" s="11" t="inlineStr">
        <is>
          <t>下拉选 Physical=物理(吃防御减伤,触发反甲) / Magical=魔法 / True=真实(默认)</t>
        </is>
      </c>
    </row>
    <row r="9">
      <c r="A9" s="12" t="inlineStr">
        <is>
          <t>className</t>
        </is>
      </c>
      <c r="C9" s="13" t="inlineStr">
        <is>
          <t>ExtraDamagePassive</t>
        </is>
      </c>
      <c r="D9" s="14" t="n"/>
      <c r="E9" s="15" t="n"/>
    </row>
    <row r="10" ht="30" customHeight="1">
      <c r="A10" s="12" t="inlineStr">
        <is>
          <t>jsonParams</t>
        </is>
      </c>
      <c r="C10" s="16">
        <f>"{"&amp;CHAR(34)&amp;"amount"&amp;CHAR(34)&amp;":"&amp;C7&amp;","&amp;CHAR(34)&amp;"kind"&amp;CHAR(34)&amp;":"&amp;CHAR(34)&amp;C8&amp;CHAR(34)&amp;"}"</f>
        <v/>
      </c>
      <c r="D10" s="14" t="n"/>
      <c r="E10" s="15" t="n"/>
    </row>
    <row r="12">
      <c r="A12" s="3" t="inlineStr">
        <is>
          <t>◆ 吸血（饮血剑）  LifestealPassive</t>
        </is>
      </c>
      <c r="B12" s="4" t="n"/>
      <c r="C12" s="4" t="n"/>
      <c r="D12" s="4" t="n"/>
      <c r="E12" s="5" t="inlineStr">
        <is>
          <t>攻击造成伤害后回血：baseHeal + 伤害×percent%</t>
        </is>
      </c>
    </row>
    <row r="13">
      <c r="A13" s="6" t="inlineStr">
        <is>
          <t>参数</t>
        </is>
      </c>
      <c r="B13" s="6" t="inlineStr">
        <is>
          <t>类型</t>
        </is>
      </c>
      <c r="C13" s="6" t="inlineStr">
        <is>
          <t>填写值</t>
        </is>
      </c>
      <c r="D13" s="6" t="inlineStr">
        <is>
          <t>默认值</t>
        </is>
      </c>
      <c r="E13" s="6" t="inlineStr">
        <is>
          <t>说明</t>
        </is>
      </c>
    </row>
    <row r="14">
      <c r="A14" s="7" t="inlineStr">
        <is>
          <t>baseHeal</t>
        </is>
      </c>
      <c r="B14" s="8" t="inlineStr">
        <is>
          <t>int</t>
        </is>
      </c>
      <c r="C14" s="9" t="n">
        <v>0</v>
      </c>
      <c r="D14" s="10" t="n">
        <v>0</v>
      </c>
      <c r="E14" s="11" t="inlineStr">
        <is>
          <t>每次攻击固定回血量</t>
        </is>
      </c>
    </row>
    <row r="15">
      <c r="A15" s="7" t="inlineStr">
        <is>
          <t>percent</t>
        </is>
      </c>
      <c r="B15" s="8" t="inlineStr">
        <is>
          <t>int</t>
        </is>
      </c>
      <c r="C15" s="9" t="n">
        <v>30</v>
      </c>
      <c r="D15" s="10" t="n">
        <v>30</v>
      </c>
      <c r="E15" s="11" t="inlineStr">
        <is>
          <t>按伤害比例吸血(0-100)</t>
        </is>
      </c>
    </row>
    <row r="16">
      <c r="A16" s="12" t="inlineStr">
        <is>
          <t>className</t>
        </is>
      </c>
      <c r="C16" s="13" t="inlineStr">
        <is>
          <t>LifestealPassive</t>
        </is>
      </c>
      <c r="D16" s="14" t="n"/>
      <c r="E16" s="15" t="n"/>
    </row>
    <row r="17" ht="30" customHeight="1">
      <c r="A17" s="12" t="inlineStr">
        <is>
          <t>jsonParams</t>
        </is>
      </c>
      <c r="C17" s="16">
        <f>"{"&amp;CHAR(34)&amp;"baseHeal"&amp;CHAR(34)&amp;":"&amp;C14&amp;","&amp;CHAR(34)&amp;"percent"&amp;CHAR(34)&amp;":"&amp;C15&amp;"}"</f>
        <v/>
      </c>
      <c r="D17" s="14" t="n"/>
      <c r="E17" s="15" t="n"/>
    </row>
    <row r="19">
      <c r="A19" s="3" t="inlineStr">
        <is>
          <t>◆ 减伤  DamageReductionPassive</t>
        </is>
      </c>
      <c r="B19" s="4" t="n"/>
      <c r="C19" s="4" t="n"/>
      <c r="D19" s="4" t="n"/>
      <c r="E19" s="5" t="inlineStr">
        <is>
          <t>受到伤害时最终伤害 -amount（下限 1），filter 筛选生效类型（默认全类型）</t>
        </is>
      </c>
    </row>
    <row r="20">
      <c r="A20" s="6" t="inlineStr">
        <is>
          <t>参数</t>
        </is>
      </c>
      <c r="B20" s="6" t="inlineStr">
        <is>
          <t>类型</t>
        </is>
      </c>
      <c r="C20" s="6" t="inlineStr">
        <is>
          <t>填写值</t>
        </is>
      </c>
      <c r="D20" s="6" t="inlineStr">
        <is>
          <t>默认值</t>
        </is>
      </c>
      <c r="E20" s="6" t="inlineStr">
        <is>
          <t>说明</t>
        </is>
      </c>
    </row>
    <row r="21">
      <c r="A21" s="7" t="inlineStr">
        <is>
          <t>amount</t>
        </is>
      </c>
      <c r="B21" s="8" t="inlineStr">
        <is>
          <t>int</t>
        </is>
      </c>
      <c r="C21" s="9" t="n">
        <v>5</v>
      </c>
      <c r="D21" s="10" t="n">
        <v>5</v>
      </c>
      <c r="E21" s="11" t="inlineStr">
        <is>
          <t>减免的伤害数值</t>
        </is>
      </c>
    </row>
    <row r="22">
      <c r="A22" s="7" t="inlineStr">
        <is>
          <t>filter</t>
        </is>
      </c>
      <c r="B22" s="8" t="inlineStr">
        <is>
          <t>enum_filter</t>
        </is>
      </c>
      <c r="C22" s="9" t="inlineStr">
        <is>
          <t>All</t>
        </is>
      </c>
      <c r="D22" s="10" t="inlineStr">
        <is>
          <t>All</t>
        </is>
      </c>
      <c r="E22" s="11" t="inlineStr">
        <is>
          <t>下拉选 All=全类型 / Physical=仅物理 / Magical=仅魔法 / True=仅真实</t>
        </is>
      </c>
    </row>
    <row r="23">
      <c r="A23" s="12" t="inlineStr">
        <is>
          <t>className</t>
        </is>
      </c>
      <c r="C23" s="13" t="inlineStr">
        <is>
          <t>DamageReductionPassive</t>
        </is>
      </c>
      <c r="D23" s="14" t="n"/>
      <c r="E23" s="15" t="n"/>
    </row>
    <row r="24" ht="30" customHeight="1">
      <c r="A24" s="12" t="inlineStr">
        <is>
          <t>jsonParams</t>
        </is>
      </c>
      <c r="C24" s="16">
        <f>"{"&amp;CHAR(34)&amp;"amount"&amp;CHAR(34)&amp;":"&amp;C21&amp;","&amp;CHAR(34)&amp;"filter"&amp;CHAR(34)&amp;":"&amp;CHAR(34)&amp;C22&amp;CHAR(34)&amp;"}"</f>
        <v/>
      </c>
      <c r="D24" s="14" t="n"/>
      <c r="E24" s="15" t="n"/>
    </row>
    <row r="26">
      <c r="A26" s="3" t="inlineStr">
        <is>
          <t>◆ 再生（生命铠甲）  RegenPassive</t>
        </is>
      </c>
      <c r="B26" s="4" t="n"/>
      <c r="C26" s="4" t="n"/>
      <c r="D26" s="4" t="n"/>
      <c r="E26" s="5" t="inlineStr">
        <is>
          <t>回合开始回血；连续未受伤 upgradeThreshold 回合后进化为 upgradedAmount</t>
        </is>
      </c>
    </row>
    <row r="27">
      <c r="A27" s="6" t="inlineStr">
        <is>
          <t>参数</t>
        </is>
      </c>
      <c r="B27" s="6" t="inlineStr">
        <is>
          <t>类型</t>
        </is>
      </c>
      <c r="C27" s="6" t="inlineStr">
        <is>
          <t>填写值</t>
        </is>
      </c>
      <c r="D27" s="6" t="inlineStr">
        <is>
          <t>默认值</t>
        </is>
      </c>
      <c r="E27" s="6" t="inlineStr">
        <is>
          <t>说明</t>
        </is>
      </c>
    </row>
    <row r="28">
      <c r="A28" s="7" t="inlineStr">
        <is>
          <t>baseAmount</t>
        </is>
      </c>
      <c r="B28" s="8" t="inlineStr">
        <is>
          <t>int</t>
        </is>
      </c>
      <c r="C28" s="9" t="n">
        <v>1</v>
      </c>
      <c r="D28" s="10" t="n">
        <v>1</v>
      </c>
      <c r="E28" s="11" t="inlineStr">
        <is>
          <t>每回合基础回血量</t>
        </is>
      </c>
    </row>
    <row r="29">
      <c r="A29" s="7" t="inlineStr">
        <is>
          <t>upgradedAmount</t>
        </is>
      </c>
      <c r="B29" s="8" t="inlineStr">
        <is>
          <t>int</t>
        </is>
      </c>
      <c r="C29" s="9" t="n">
        <v>3</v>
      </c>
      <c r="D29" s="10" t="n">
        <v>3</v>
      </c>
      <c r="E29" s="11" t="inlineStr">
        <is>
          <t>进化后每回合回血量</t>
        </is>
      </c>
    </row>
    <row r="30">
      <c r="A30" s="7" t="inlineStr">
        <is>
          <t>upgradeThreshold</t>
        </is>
      </c>
      <c r="B30" s="8" t="inlineStr">
        <is>
          <t>int</t>
        </is>
      </c>
      <c r="C30" s="9" t="n">
        <v>4</v>
      </c>
      <c r="D30" s="10" t="n">
        <v>4</v>
      </c>
      <c r="E30" s="11" t="inlineStr">
        <is>
          <t>连续未受伤回合数阈值</t>
        </is>
      </c>
    </row>
    <row r="31">
      <c r="A31" s="12" t="inlineStr">
        <is>
          <t>className</t>
        </is>
      </c>
      <c r="C31" s="13" t="inlineStr">
        <is>
          <t>RegenPassive</t>
        </is>
      </c>
      <c r="D31" s="14" t="n"/>
      <c r="E31" s="15" t="n"/>
    </row>
    <row r="32" ht="30" customHeight="1">
      <c r="A32" s="12" t="inlineStr">
        <is>
          <t>jsonParams</t>
        </is>
      </c>
      <c r="C32" s="16">
        <f>"{"&amp;CHAR(34)&amp;"baseAmount"&amp;CHAR(34)&amp;":"&amp;C28&amp;","&amp;CHAR(34)&amp;"upgradedAmount"&amp;CHAR(34)&amp;":"&amp;C29&amp;","&amp;CHAR(34)&amp;"upgradeThreshold"&amp;CHAR(34)&amp;":"&amp;C30&amp;"}"</f>
        <v/>
      </c>
      <c r="D32" s="14" t="n"/>
      <c r="E32" s="15" t="n"/>
    </row>
    <row r="34">
      <c r="A34" s="3" t="inlineStr">
        <is>
          <t>◆ 反伤（荆棘刺甲）  ThornsPassive</t>
        </is>
      </c>
      <c r="B34" s="4" t="n"/>
      <c r="C34" s="4" t="n"/>
      <c r="D34" s="4" t="n"/>
      <c r="E34" s="5" t="inlineStr">
        <is>
          <t>受到物理伤害后反伤 amount + 受击伤害×percent%；可配置范围/防御减伤（只反物理，反出魔法天然防递归）</t>
        </is>
      </c>
    </row>
    <row r="35">
      <c r="A35" s="6" t="inlineStr">
        <is>
          <t>参数</t>
        </is>
      </c>
      <c r="B35" s="6" t="inlineStr">
        <is>
          <t>类型</t>
        </is>
      </c>
      <c r="C35" s="6" t="inlineStr">
        <is>
          <t>填写值</t>
        </is>
      </c>
      <c r="D35" s="6" t="inlineStr">
        <is>
          <t>默认值</t>
        </is>
      </c>
      <c r="E35" s="6" t="inlineStr">
        <is>
          <t>说明</t>
        </is>
      </c>
    </row>
    <row r="36">
      <c r="A36" s="7" t="inlineStr">
        <is>
          <t>amount</t>
        </is>
      </c>
      <c r="B36" s="8" t="inlineStr">
        <is>
          <t>int</t>
        </is>
      </c>
      <c r="C36" s="9" t="n">
        <v>8</v>
      </c>
      <c r="D36" s="10" t="n">
        <v>8</v>
      </c>
      <c r="E36" s="11" t="inlineStr">
        <is>
          <t>基础反伤数值</t>
        </is>
      </c>
    </row>
    <row r="37">
      <c r="A37" s="7" t="inlineStr">
        <is>
          <t>percent</t>
        </is>
      </c>
      <c r="B37" s="8" t="inlineStr">
        <is>
          <t>int</t>
        </is>
      </c>
      <c r="C37" s="9" t="n">
        <v>0</v>
      </c>
      <c r="D37" s="10" t="n">
        <v>0</v>
      </c>
      <c r="E37" s="11" t="inlineStr">
        <is>
          <t>按受击伤害比例反伤(0-100)</t>
        </is>
      </c>
    </row>
    <row r="38">
      <c r="A38" s="7" t="inlineStr">
        <is>
          <t>affectedByDefense</t>
        </is>
      </c>
      <c r="B38" s="8" t="inlineStr">
        <is>
          <t>bool</t>
        </is>
      </c>
      <c r="C38" s="9" t="inlineStr">
        <is>
          <t>false</t>
        </is>
      </c>
      <c r="D38" s="10" t="inlineStr">
        <is>
          <t>false</t>
        </is>
      </c>
      <c r="E38" s="11" t="inlineStr">
        <is>
          <t>下拉选 true/false：true=反伤被目标防御减伤；false=真实伤害</t>
        </is>
      </c>
    </row>
    <row r="39">
      <c r="A39" s="7" t="inlineStr">
        <is>
          <t>reflectRadius</t>
        </is>
      </c>
      <c r="B39" s="8" t="inlineStr">
        <is>
          <t>int</t>
        </is>
      </c>
      <c r="C39" s="9" t="n">
        <v>0</v>
      </c>
      <c r="D39" s="10" t="n">
        <v>0</v>
      </c>
      <c r="E39" s="11" t="inlineStr">
        <is>
          <t>反伤半径(0=只反攻击者；≥1=范围反伤)</t>
        </is>
      </c>
    </row>
    <row r="40">
      <c r="A40" s="7" t="inlineStr">
        <is>
          <t>alwaysReflectAttacker</t>
        </is>
      </c>
      <c r="B40" s="8" t="inlineStr">
        <is>
          <t>bool</t>
        </is>
      </c>
      <c r="C40" s="9" t="inlineStr">
        <is>
          <t>false</t>
        </is>
      </c>
      <c r="D40" s="10" t="inlineStr">
        <is>
          <t>false</t>
        </is>
      </c>
      <c r="E40" s="11" t="inlineStr">
        <is>
          <t>下拉选 true/false：true=攻击者必反；false=只反半径内敌人</t>
        </is>
      </c>
    </row>
    <row r="41">
      <c r="A41" s="12" t="inlineStr">
        <is>
          <t>className</t>
        </is>
      </c>
      <c r="C41" s="13" t="inlineStr">
        <is>
          <t>ThornsPassive</t>
        </is>
      </c>
      <c r="D41" s="14" t="n"/>
      <c r="E41" s="15" t="n"/>
    </row>
    <row r="42" ht="30" customHeight="1">
      <c r="A42" s="12" t="inlineStr">
        <is>
          <t>jsonParams</t>
        </is>
      </c>
      <c r="C42" s="16">
        <f>"{"&amp;CHAR(34)&amp;"amount"&amp;CHAR(34)&amp;":"&amp;C36&amp;","&amp;CHAR(34)&amp;"percent"&amp;CHAR(34)&amp;":"&amp;C37&amp;","&amp;CHAR(34)&amp;"affectedByDefense"&amp;CHAR(34)&amp;":"&amp;C38&amp;","&amp;CHAR(34)&amp;"reflectRadius"&amp;CHAR(34)&amp;":"&amp;C39&amp;","&amp;CHAR(34)&amp;"alwaysReflectAttacker"&amp;CHAR(34)&amp;":"&amp;C40&amp;"}"</f>
        <v/>
      </c>
      <c r="D42" s="14" t="n"/>
      <c r="E42" s="15" t="n"/>
    </row>
    <row r="44">
      <c r="A44" s="3" t="inlineStr">
        <is>
          <t>◆ 击杀加攻（死亡之刃）  KillAttackPassive</t>
        </is>
      </c>
      <c r="B44" s="4" t="n"/>
      <c r="C44" s="4" t="n"/>
      <c r="D44" s="4" t="n"/>
      <c r="E44" s="5" t="inlineStr">
        <is>
          <t>击杀棋子后攻击力永久 +amount（叠层跟随装备，卸下清除）</t>
        </is>
      </c>
    </row>
    <row r="45">
      <c r="A45" s="6" t="inlineStr">
        <is>
          <t>参数</t>
        </is>
      </c>
      <c r="B45" s="6" t="inlineStr">
        <is>
          <t>类型</t>
        </is>
      </c>
      <c r="C45" s="6" t="inlineStr">
        <is>
          <t>填写值</t>
        </is>
      </c>
      <c r="D45" s="6" t="inlineStr">
        <is>
          <t>默认值</t>
        </is>
      </c>
      <c r="E45" s="6" t="inlineStr">
        <is>
          <t>说明</t>
        </is>
      </c>
    </row>
    <row r="46">
      <c r="A46" s="7" t="inlineStr">
        <is>
          <t>amount</t>
        </is>
      </c>
      <c r="B46" s="8" t="inlineStr">
        <is>
          <t>int</t>
        </is>
      </c>
      <c r="C46" s="9" t="n">
        <v>10</v>
      </c>
      <c r="D46" s="10" t="n">
        <v>10</v>
      </c>
      <c r="E46" s="11" t="inlineStr">
        <is>
          <t>每次击杀的攻击加成</t>
        </is>
      </c>
    </row>
    <row r="47">
      <c r="A47" s="12" t="inlineStr">
        <is>
          <t>className</t>
        </is>
      </c>
      <c r="C47" s="13" t="inlineStr">
        <is>
          <t>KillAttackPassive</t>
        </is>
      </c>
      <c r="D47" s="14" t="n"/>
      <c r="E47" s="15" t="n"/>
    </row>
    <row r="48" ht="30" customHeight="1">
      <c r="A48" s="12" t="inlineStr">
        <is>
          <t>jsonParams</t>
        </is>
      </c>
      <c r="C48" s="16">
        <f>"{"&amp;CHAR(34)&amp;"amount"&amp;CHAR(34)&amp;":"&amp;C46&amp;"}"</f>
        <v/>
      </c>
      <c r="D48" s="14" t="n"/>
      <c r="E48" s="15" t="n"/>
    </row>
    <row r="50">
      <c r="A50" s="3" t="inlineStr">
        <is>
          <t>◆ 石像鬼板甲  StoneSkinPassive</t>
        </is>
      </c>
      <c r="B50" s="4" t="n"/>
      <c r="C50" s="4" t="n"/>
      <c r="D50" s="4" t="n"/>
      <c r="E50" s="5" t="inlineStr">
        <is>
          <t>被不同敌人攻击叠防 defenseBonus，计时 timerTurns 回合，计时结束/卸下清空</t>
        </is>
      </c>
    </row>
    <row r="51">
      <c r="A51" s="6" t="inlineStr">
        <is>
          <t>参数</t>
        </is>
      </c>
      <c r="B51" s="6" t="inlineStr">
        <is>
          <t>类型</t>
        </is>
      </c>
      <c r="C51" s="6" t="inlineStr">
        <is>
          <t>填写值</t>
        </is>
      </c>
      <c r="D51" s="6" t="inlineStr">
        <is>
          <t>默认值</t>
        </is>
      </c>
      <c r="E51" s="6" t="inlineStr">
        <is>
          <t>说明</t>
        </is>
      </c>
    </row>
    <row r="52">
      <c r="A52" s="7" t="inlineStr">
        <is>
          <t>defenseBonus</t>
        </is>
      </c>
      <c r="B52" s="8" t="inlineStr">
        <is>
          <t>int</t>
        </is>
      </c>
      <c r="C52" s="9" t="n">
        <v>5</v>
      </c>
      <c r="D52" s="10" t="n">
        <v>5</v>
      </c>
      <c r="E52" s="11" t="inlineStr">
        <is>
          <t>每次被新敌人攻击的防御加成</t>
        </is>
      </c>
    </row>
    <row r="53">
      <c r="A53" s="7" t="inlineStr">
        <is>
          <t>timerTurns</t>
        </is>
      </c>
      <c r="B53" s="8" t="inlineStr">
        <is>
          <t>int</t>
        </is>
      </c>
      <c r="C53" s="9" t="n">
        <v>4</v>
      </c>
      <c r="D53" s="10" t="n">
        <v>4</v>
      </c>
      <c r="E53" s="11" t="inlineStr">
        <is>
          <t>计时器持续回合数</t>
        </is>
      </c>
    </row>
    <row r="54">
      <c r="A54" s="7" t="inlineStr">
        <is>
          <t>triggerOnNoDamage</t>
        </is>
      </c>
      <c r="B54" s="8" t="inlineStr">
        <is>
          <t>bool</t>
        </is>
      </c>
      <c r="C54" s="9" t="inlineStr">
        <is>
          <t>true</t>
        </is>
      </c>
      <c r="D54" s="10" t="inlineStr">
        <is>
          <t>true</t>
        </is>
      </c>
      <c r="E54" s="11" t="inlineStr">
        <is>
          <t>下拉选 true/false：true=无论是否减血都叠层；false=仅减血叠层</t>
        </is>
      </c>
    </row>
    <row r="55">
      <c r="A55" s="12" t="inlineStr">
        <is>
          <t>className</t>
        </is>
      </c>
      <c r="C55" s="13" t="inlineStr">
        <is>
          <t>StoneSkinPassive</t>
        </is>
      </c>
      <c r="D55" s="14" t="n"/>
      <c r="E55" s="15" t="n"/>
    </row>
    <row r="56" ht="30" customHeight="1">
      <c r="A56" s="12" t="inlineStr">
        <is>
          <t>jsonParams</t>
        </is>
      </c>
      <c r="C56" s="16">
        <f>"{"&amp;CHAR(34)&amp;"defenseBonus"&amp;CHAR(34)&amp;":"&amp;C52&amp;","&amp;CHAR(34)&amp;"timerTurns"&amp;CHAR(34)&amp;":"&amp;C53&amp;","&amp;CHAR(34)&amp;"triggerOnNoDamage"&amp;CHAR(34)&amp;":"&amp;C54&amp;"}"</f>
        <v/>
      </c>
      <c r="D56" s="14" t="n"/>
      <c r="E56" s="15" t="n"/>
    </row>
    <row r="58">
      <c r="A58" s="3" t="inlineStr">
        <is>
          <t>◆ 枯萎宝珠  WitherPassive</t>
        </is>
      </c>
      <c r="B58" s="4" t="n"/>
      <c r="C58" s="4" t="n"/>
      <c r="D58" s="4" t="n"/>
      <c r="E58" s="5" t="inlineStr">
        <is>
          <t>攻击命中后目标防御 -defenseReduction，持续 duration 回合</t>
        </is>
      </c>
    </row>
    <row r="59">
      <c r="A59" s="6" t="inlineStr">
        <is>
          <t>参数</t>
        </is>
      </c>
      <c r="B59" s="6" t="inlineStr">
        <is>
          <t>类型</t>
        </is>
      </c>
      <c r="C59" s="6" t="inlineStr">
        <is>
          <t>填写值</t>
        </is>
      </c>
      <c r="D59" s="6" t="inlineStr">
        <is>
          <t>默认值</t>
        </is>
      </c>
      <c r="E59" s="6" t="inlineStr">
        <is>
          <t>说明</t>
        </is>
      </c>
    </row>
    <row r="60">
      <c r="A60" s="7" t="inlineStr">
        <is>
          <t>defenseReduction</t>
        </is>
      </c>
      <c r="B60" s="8" t="inlineStr">
        <is>
          <t>int</t>
        </is>
      </c>
      <c r="C60" s="9" t="n">
        <v>3</v>
      </c>
      <c r="D60" s="10" t="n">
        <v>3</v>
      </c>
      <c r="E60" s="11" t="inlineStr">
        <is>
          <t>目标防御降低值</t>
        </is>
      </c>
    </row>
    <row r="61">
      <c r="A61" s="7" t="inlineStr">
        <is>
          <t>duration</t>
        </is>
      </c>
      <c r="B61" s="8" t="inlineStr">
        <is>
          <t>int</t>
        </is>
      </c>
      <c r="C61" s="9" t="n">
        <v>2</v>
      </c>
      <c r="D61" s="10" t="n">
        <v>2</v>
      </c>
      <c r="E61" s="11" t="inlineStr">
        <is>
          <t>减防持续回合数</t>
        </is>
      </c>
    </row>
    <row r="62">
      <c r="A62" s="12" t="inlineStr">
        <is>
          <t>className</t>
        </is>
      </c>
      <c r="C62" s="13" t="inlineStr">
        <is>
          <t>WitherPassive</t>
        </is>
      </c>
      <c r="D62" s="14" t="n"/>
      <c r="E62" s="15" t="n"/>
    </row>
    <row r="63" ht="30" customHeight="1">
      <c r="A63" s="12" t="inlineStr">
        <is>
          <t>jsonParams</t>
        </is>
      </c>
      <c r="C63" s="16">
        <f>"{"&amp;CHAR(34)&amp;"defenseReduction"&amp;CHAR(34)&amp;":"&amp;C60&amp;","&amp;CHAR(34)&amp;"duration"&amp;CHAR(34)&amp;":"&amp;C61&amp;"}"</f>
        <v/>
      </c>
      <c r="D63" s="14" t="n"/>
      <c r="E63" s="15" t="n"/>
    </row>
    <row r="65">
      <c r="A65" s="3" t="inlineStr">
        <is>
          <t>◆ 英灵幡  SpiritBannerPassive</t>
        </is>
      </c>
      <c r="B65" s="4" t="n"/>
      <c r="C65" s="4" t="n"/>
      <c r="D65" s="4" t="n"/>
      <c r="E65" s="5" t="inlineStr">
        <is>
          <t>己方棋子死亡：立刻回蓝 instantEnergy + 之后每回合回蓝 regenEnergyPerTurn 持续 durationTurns 回合</t>
        </is>
      </c>
    </row>
    <row r="66">
      <c r="A66" s="6" t="inlineStr">
        <is>
          <t>参数</t>
        </is>
      </c>
      <c r="B66" s="6" t="inlineStr">
        <is>
          <t>类型</t>
        </is>
      </c>
      <c r="C66" s="6" t="inlineStr">
        <is>
          <t>填写值</t>
        </is>
      </c>
      <c r="D66" s="6" t="inlineStr">
        <is>
          <t>默认值</t>
        </is>
      </c>
      <c r="E66" s="6" t="inlineStr">
        <is>
          <t>说明</t>
        </is>
      </c>
    </row>
    <row r="67">
      <c r="A67" s="7" t="inlineStr">
        <is>
          <t>instantEnergy</t>
        </is>
      </c>
      <c r="B67" s="8" t="inlineStr">
        <is>
          <t>int</t>
        </is>
      </c>
      <c r="C67" s="9" t="n">
        <v>20</v>
      </c>
      <c r="D67" s="10" t="n">
        <v>20</v>
      </c>
      <c r="E67" s="11" t="inlineStr">
        <is>
          <t>己方棋子死亡时立刻回蓝量</t>
        </is>
      </c>
    </row>
    <row r="68">
      <c r="A68" s="7" t="inlineStr">
        <is>
          <t>regenEnergyPerTurn</t>
        </is>
      </c>
      <c r="B68" s="8" t="inlineStr">
        <is>
          <t>int</t>
        </is>
      </c>
      <c r="C68" s="9" t="n">
        <v>5</v>
      </c>
      <c r="D68" s="10" t="n">
        <v>5</v>
      </c>
      <c r="E68" s="11" t="inlineStr">
        <is>
          <t>之后每回合回蓝量</t>
        </is>
      </c>
    </row>
    <row r="69">
      <c r="A69" s="7" t="inlineStr">
        <is>
          <t>durationTurns</t>
        </is>
      </c>
      <c r="B69" s="8" t="inlineStr">
        <is>
          <t>int</t>
        </is>
      </c>
      <c r="C69" s="9" t="n">
        <v>3</v>
      </c>
      <c r="D69" s="10" t="n">
        <v>3</v>
      </c>
      <c r="E69" s="11" t="inlineStr">
        <is>
          <t>持续回蓝的回合数</t>
        </is>
      </c>
    </row>
    <row r="70">
      <c r="A70" s="12" t="inlineStr">
        <is>
          <t>className</t>
        </is>
      </c>
      <c r="C70" s="13" t="inlineStr">
        <is>
          <t>SpiritBannerPassive</t>
        </is>
      </c>
      <c r="D70" s="14" t="n"/>
      <c r="E70" s="15" t="n"/>
    </row>
    <row r="71" ht="30" customHeight="1">
      <c r="A71" s="12" t="inlineStr">
        <is>
          <t>jsonParams</t>
        </is>
      </c>
      <c r="C71" s="16">
        <f>"{"&amp;CHAR(34)&amp;"instantEnergy"&amp;CHAR(34)&amp;":"&amp;C67&amp;","&amp;CHAR(34)&amp;"regenEnergyPerTurn"&amp;CHAR(34)&amp;":"&amp;C68&amp;","&amp;CHAR(34)&amp;"durationTurns"&amp;CHAR(34)&amp;":"&amp;C69&amp;"}"</f>
        <v/>
      </c>
      <c r="D71" s="14" t="n"/>
      <c r="E71" s="15" t="n"/>
    </row>
    <row r="73">
      <c r="A73" s="3" t="inlineStr">
        <is>
          <t>◆ 免AP（探索者护臂/诸葛连弩）  FreeAPPassive</t>
        </is>
      </c>
      <c r="B73" s="4" t="n"/>
      <c r="C73" s="4" t="n"/>
      <c r="D73" s="4" t="n"/>
      <c r="E73" s="5" t="inlineStr">
        <is>
          <t>移动或攻击完全免 AP（AP=0 也能用），触发后进入 cooldownTurns 回合冷却</t>
        </is>
      </c>
    </row>
    <row r="74">
      <c r="A74" s="6" t="inlineStr">
        <is>
          <t>参数</t>
        </is>
      </c>
      <c r="B74" s="6" t="inlineStr">
        <is>
          <t>类型</t>
        </is>
      </c>
      <c r="C74" s="6" t="inlineStr">
        <is>
          <t>填写值</t>
        </is>
      </c>
      <c r="D74" s="6" t="inlineStr">
        <is>
          <t>默认值</t>
        </is>
      </c>
      <c r="E74" s="6" t="inlineStr">
        <is>
          <t>说明</t>
        </is>
      </c>
    </row>
    <row r="75">
      <c r="A75" s="7" t="inlineStr">
        <is>
          <t>freeType</t>
        </is>
      </c>
      <c r="B75" s="8" t="inlineStr">
        <is>
          <t>enum</t>
        </is>
      </c>
      <c r="C75" s="9" t="inlineStr">
        <is>
          <t>Move</t>
        </is>
      </c>
      <c r="D75" s="10" t="inlineStr">
        <is>
          <t>Move</t>
        </is>
      </c>
      <c r="E75" s="11" t="inlineStr">
        <is>
          <t>下拉选 Move=移动免AP（探索者护臂）/ Attack=攻击免AP（诸葛连弩）</t>
        </is>
      </c>
    </row>
    <row r="76">
      <c r="A76" s="7" t="inlineStr">
        <is>
          <t>cooldownTurns</t>
        </is>
      </c>
      <c r="B76" s="8" t="inlineStr">
        <is>
          <t>int</t>
        </is>
      </c>
      <c r="C76" s="9" t="n">
        <v>4</v>
      </c>
      <c r="D76" s="10" t="n">
        <v>4</v>
      </c>
      <c r="E76" s="11" t="inlineStr">
        <is>
          <t>免AP的冷却回合数</t>
        </is>
      </c>
    </row>
    <row r="77">
      <c r="A77" s="7" t="inlineStr">
        <is>
          <t>gainEnergy</t>
        </is>
      </c>
      <c r="B77" s="8" t="inlineStr">
        <is>
          <t>bool</t>
        </is>
      </c>
      <c r="C77" s="9" t="inlineStr">
        <is>
          <t>false</t>
        </is>
      </c>
      <c r="D77" s="10" t="inlineStr">
        <is>
          <t>false</t>
        </is>
      </c>
      <c r="E77" s="11" t="inlineStr">
        <is>
          <t>下拉选 true/false：免AP移动/连射攻击是否获得充能</t>
        </is>
      </c>
    </row>
    <row r="78">
      <c r="A78" s="12" t="inlineStr">
        <is>
          <t>className</t>
        </is>
      </c>
      <c r="C78" s="13" t="inlineStr">
        <is>
          <t>FreeAPPassive</t>
        </is>
      </c>
      <c r="D78" s="14" t="n"/>
      <c r="E78" s="15" t="n"/>
    </row>
    <row r="79" ht="30" customHeight="1">
      <c r="A79" s="12" t="inlineStr">
        <is>
          <t>jsonParams</t>
        </is>
      </c>
      <c r="C79" s="16">
        <f>"{"&amp;CHAR(34)&amp;"freeType"&amp;CHAR(34)&amp;":"&amp;CHAR(34)&amp;C75&amp;CHAR(34)&amp;","&amp;CHAR(34)&amp;"cooldownTurns"&amp;CHAR(34)&amp;":"&amp;C76&amp;","&amp;CHAR(34)&amp;"gainEnergy"&amp;CHAR(34)&amp;":"&amp;C77&amp;"}"</f>
        <v/>
      </c>
      <c r="D79" s="14" t="n"/>
      <c r="E79" s="15" t="n"/>
    </row>
    <row r="81">
      <c r="A81" s="3" t="inlineStr">
        <is>
          <t>◆ 死亡之蔑  DeathDancePassive</t>
        </is>
      </c>
      <c r="B81" s="4" t="n"/>
      <c r="C81" s="4" t="n"/>
      <c r="D81" s="4" t="n"/>
      <c r="E81" s="5" t="inlineStr">
        <is>
          <t>受击伤害 delayPercent% 延迟到后续 delayTurns 回合平分结算；realTimeDamage 开关控制是否随防御变化微调；延迟期间禁止卸下</t>
        </is>
      </c>
    </row>
    <row r="82">
      <c r="A82" s="6" t="inlineStr">
        <is>
          <t>参数</t>
        </is>
      </c>
      <c r="B82" s="6" t="inlineStr">
        <is>
          <t>类型</t>
        </is>
      </c>
      <c r="C82" s="6" t="inlineStr">
        <is>
          <t>填写值</t>
        </is>
      </c>
      <c r="D82" s="6" t="inlineStr">
        <is>
          <t>默认值</t>
        </is>
      </c>
      <c r="E82" s="6" t="inlineStr">
        <is>
          <t>说明</t>
        </is>
      </c>
    </row>
    <row r="83">
      <c r="A83" s="7" t="inlineStr">
        <is>
          <t>delayPercent</t>
        </is>
      </c>
      <c r="B83" s="8" t="inlineStr">
        <is>
          <t>int</t>
        </is>
      </c>
      <c r="C83" s="9" t="n">
        <v>50</v>
      </c>
      <c r="D83" s="10" t="n">
        <v>50</v>
      </c>
      <c r="E83" s="11" t="inlineStr">
        <is>
          <t>受击伤害的 X% 延迟(1-99)</t>
        </is>
      </c>
    </row>
    <row r="84">
      <c r="A84" s="7" t="inlineStr">
        <is>
          <t>delayTurns</t>
        </is>
      </c>
      <c r="B84" s="8" t="inlineStr">
        <is>
          <t>int</t>
        </is>
      </c>
      <c r="C84" s="9" t="n">
        <v>2</v>
      </c>
      <c r="D84" s="10" t="n">
        <v>2</v>
      </c>
      <c r="E84" s="11" t="inlineStr">
        <is>
          <t>受击后 N 回合内平分结算</t>
        </is>
      </c>
    </row>
    <row r="85">
      <c r="A85" s="7" t="inlineStr">
        <is>
          <t>realTimeDamage</t>
        </is>
      </c>
      <c r="B85" s="8" t="inlineStr">
        <is>
          <t>bool</t>
        </is>
      </c>
      <c r="C85" s="9" t="inlineStr">
        <is>
          <t>false</t>
        </is>
      </c>
      <c r="D85" s="10" t="inlineStr">
        <is>
          <t>false</t>
        </is>
      </c>
      <c r="E85" s="11" t="inlineStr">
        <is>
          <t>下拉选 true/false：true=随防御变化微调；false=固定</t>
        </is>
      </c>
    </row>
    <row r="86">
      <c r="A86" s="12" t="inlineStr">
        <is>
          <t>className</t>
        </is>
      </c>
      <c r="C86" s="13" t="inlineStr">
        <is>
          <t>DeathDancePassive</t>
        </is>
      </c>
      <c r="D86" s="14" t="n"/>
      <c r="E86" s="15" t="n"/>
    </row>
    <row r="87" ht="30" customHeight="1">
      <c r="A87" s="12" t="inlineStr">
        <is>
          <t>jsonParams</t>
        </is>
      </c>
      <c r="C87" s="16">
        <f>"{"&amp;CHAR(34)&amp;"delayPercent"&amp;CHAR(34)&amp;":"&amp;C83&amp;","&amp;CHAR(34)&amp;"delayTurns"&amp;CHAR(34)&amp;":"&amp;C84&amp;","&amp;CHAR(34)&amp;"realTimeDamage"&amp;CHAR(34)&amp;":"&amp;C85&amp;"}"</f>
        <v/>
      </c>
      <c r="D87" s="14" t="n"/>
      <c r="E87" s="15" t="n"/>
    </row>
    <row r="89">
      <c r="A89" s="3" t="inlineStr">
        <is>
          <t>◆ 首伤=1（中娅悖论）  FirstDamageToOnePassive</t>
        </is>
      </c>
      <c r="B89" s="4" t="n"/>
      <c r="C89" s="4" t="n"/>
      <c r="D89" s="4" t="n"/>
      <c r="E89" s="5" t="inlineStr">
        <is>
          <t>冷却完毕时受击伤害降为 1，进入冷却（中娅悖论两条被动之一）</t>
        </is>
      </c>
    </row>
    <row r="90">
      <c r="A90" s="6" t="inlineStr">
        <is>
          <t>参数</t>
        </is>
      </c>
      <c r="B90" s="6" t="inlineStr">
        <is>
          <t>类型</t>
        </is>
      </c>
      <c r="C90" s="6" t="inlineStr">
        <is>
          <t>填写值</t>
        </is>
      </c>
      <c r="D90" s="6" t="inlineStr">
        <is>
          <t>默认值</t>
        </is>
      </c>
      <c r="E90" s="6" t="inlineStr">
        <is>
          <t>说明</t>
        </is>
      </c>
    </row>
    <row r="91">
      <c r="A91" s="7" t="inlineStr">
        <is>
          <t>cooldownTurns</t>
        </is>
      </c>
      <c r="B91" s="8" t="inlineStr">
        <is>
          <t>int</t>
        </is>
      </c>
      <c r="C91" s="9" t="n">
        <v>4</v>
      </c>
      <c r="D91" s="10" t="n">
        <v>4</v>
      </c>
      <c r="E91" s="11" t="inlineStr">
        <is>
          <t>首伤=1 的冷却回合数</t>
        </is>
      </c>
    </row>
    <row r="92">
      <c r="A92" s="12" t="inlineStr">
        <is>
          <t>className</t>
        </is>
      </c>
      <c r="C92" s="13" t="inlineStr">
        <is>
          <t>FirstDamageToOnePassive</t>
        </is>
      </c>
      <c r="D92" s="14" t="n"/>
      <c r="E92" s="15" t="n"/>
    </row>
    <row r="93" ht="30" customHeight="1">
      <c r="A93" s="12" t="inlineStr">
        <is>
          <t>jsonParams</t>
        </is>
      </c>
      <c r="C93" s="16">
        <f>"{"&amp;CHAR(34)&amp;"cooldownTurns"&amp;CHAR(34)&amp;":"&amp;C91&amp;"}"</f>
        <v/>
      </c>
      <c r="D93" s="14" t="n"/>
      <c r="E93" s="15" t="n"/>
    </row>
    <row r="95">
      <c r="A95" s="3" t="inlineStr">
        <is>
          <t>◆ 免死（中娅悖论）  DeathDefyPassive</t>
        </is>
      </c>
      <c r="B95" s="4" t="n"/>
      <c r="C95" s="4" t="n"/>
      <c r="D95" s="4" t="n"/>
      <c r="E95" s="5" t="inlineStr">
        <is>
          <t>受到致命伤时回 1 HP 免死一次，进入冷却（中娅悖论两条被动之一）</t>
        </is>
      </c>
    </row>
    <row r="96">
      <c r="A96" s="6" t="inlineStr">
        <is>
          <t>参数</t>
        </is>
      </c>
      <c r="B96" s="6" t="inlineStr">
        <is>
          <t>类型</t>
        </is>
      </c>
      <c r="C96" s="6" t="inlineStr">
        <is>
          <t>填写值</t>
        </is>
      </c>
      <c r="D96" s="6" t="inlineStr">
        <is>
          <t>默认值</t>
        </is>
      </c>
      <c r="E96" s="6" t="inlineStr">
        <is>
          <t>说明</t>
        </is>
      </c>
    </row>
    <row r="97">
      <c r="A97" s="7" t="inlineStr">
        <is>
          <t>cooldownTurns</t>
        </is>
      </c>
      <c r="B97" s="8" t="inlineStr">
        <is>
          <t>int</t>
        </is>
      </c>
      <c r="C97" s="9" t="n">
        <v>16</v>
      </c>
      <c r="D97" s="10" t="n">
        <v>16</v>
      </c>
      <c r="E97" s="11" t="inlineStr">
        <is>
          <t>免死的冷却回合数</t>
        </is>
      </c>
    </row>
    <row r="98">
      <c r="A98" s="12" t="inlineStr">
        <is>
          <t>className</t>
        </is>
      </c>
      <c r="C98" s="13" t="inlineStr">
        <is>
          <t>DeathDefyPassive</t>
        </is>
      </c>
      <c r="D98" s="14" t="n"/>
      <c r="E98" s="15" t="n"/>
    </row>
    <row r="99" ht="30" customHeight="1">
      <c r="A99" s="12" t="inlineStr">
        <is>
          <t>jsonParams</t>
        </is>
      </c>
      <c r="C99" s="16">
        <f>"{"&amp;CHAR(34)&amp;"cooldownTurns"&amp;CHAR(34)&amp;":"&amp;C97&amp;"}"</f>
        <v/>
      </c>
      <c r="D99" s="14" t="n"/>
      <c r="E99" s="15" t="n"/>
    </row>
    <row r="101">
      <c r="A101" s="3" t="inlineStr">
        <is>
          <t>◆ 军团圣盾（光环+进化）  LegionAegisPassive</t>
        </is>
      </c>
      <c r="B101" s="4" t="n"/>
      <c r="C101" s="4" t="n"/>
      <c r="D101" s="4" t="n"/>
      <c r="E101" s="5" t="inlineStr">
        <is>
          <t>光环给范围内友军/敌军加属性；连续未受伤 evolveTurns 回合进化。唯一被动需在 PassiveConfig 另填 isUnique=true + uniqueId + passiveName（不进 jsonParams）</t>
        </is>
      </c>
    </row>
    <row r="102">
      <c r="A102" s="6" t="inlineStr">
        <is>
          <t>参数</t>
        </is>
      </c>
      <c r="B102" s="6" t="inlineStr">
        <is>
          <t>类型</t>
        </is>
      </c>
      <c r="C102" s="6" t="inlineStr">
        <is>
          <t>填写值</t>
        </is>
      </c>
      <c r="D102" s="6" t="inlineStr">
        <is>
          <t>默认值</t>
        </is>
      </c>
      <c r="E102" s="6" t="inlineStr">
        <is>
          <t>说明</t>
        </is>
      </c>
    </row>
    <row r="103">
      <c r="A103" s="7" t="inlineStr">
        <is>
          <t>affectDirection</t>
        </is>
      </c>
      <c r="B103" s="8" t="inlineStr">
        <is>
          <t>enum_dir</t>
        </is>
      </c>
      <c r="C103" s="9" t="inlineStr">
        <is>
          <t>Ally</t>
        </is>
      </c>
      <c r="D103" s="10" t="inlineStr">
        <is>
          <t>Ally</t>
        </is>
      </c>
      <c r="E103" s="11" t="inlineStr">
        <is>
          <t>下拉选 Ally=己方 / Enemy=敌方</t>
        </is>
      </c>
    </row>
    <row r="104">
      <c r="A104" s="7" t="inlineStr">
        <is>
          <t>affectRange</t>
        </is>
      </c>
      <c r="B104" s="8" t="inlineStr">
        <is>
          <t>int</t>
        </is>
      </c>
      <c r="C104" s="9" t="n">
        <v>2</v>
      </c>
      <c r="D104" s="10" t="n">
        <v>2</v>
      </c>
      <c r="E104" s="11" t="inlineStr">
        <is>
          <t>HexCoord 距离 ≤ 该值</t>
        </is>
      </c>
    </row>
    <row r="105">
      <c r="A105" s="7" t="inlineStr">
        <is>
          <t>bonusStat</t>
        </is>
      </c>
      <c r="B105" s="8" t="inlineStr">
        <is>
          <t>enum_stat</t>
        </is>
      </c>
      <c r="C105" s="9" t="inlineStr">
        <is>
          <t>Defense</t>
        </is>
      </c>
      <c r="D105" s="10" t="inlineStr">
        <is>
          <t>Defense</t>
        </is>
      </c>
      <c r="E105" s="11" t="inlineStr">
        <is>
          <t>下拉选 Attack / Defense</t>
        </is>
      </c>
    </row>
    <row r="106">
      <c r="A106" s="7" t="inlineStr">
        <is>
          <t>bonusAmount</t>
        </is>
      </c>
      <c r="B106" s="8" t="inlineStr">
        <is>
          <t>int</t>
        </is>
      </c>
      <c r="C106" s="9" t="n">
        <v>5</v>
      </c>
      <c r="D106" s="10" t="n">
        <v>5</v>
      </c>
      <c r="E106" s="11" t="inlineStr">
        <is>
          <t>加成数值(可为负值)</t>
        </is>
      </c>
    </row>
    <row r="107">
      <c r="A107" s="7" t="inlineStr">
        <is>
          <t>evolveTurns</t>
        </is>
      </c>
      <c r="B107" s="8" t="inlineStr">
        <is>
          <t>int</t>
        </is>
      </c>
      <c r="C107" s="9" t="n">
        <v>4</v>
      </c>
      <c r="D107" s="10" t="n">
        <v>4</v>
      </c>
      <c r="E107" s="11" t="inlineStr">
        <is>
          <t>-1=不进化；0=立即进化；&gt;0=连续未受伤回合数</t>
        </is>
      </c>
    </row>
    <row r="108">
      <c r="A108" s="7" t="inlineStr">
        <is>
          <t>evolvedDirection</t>
        </is>
      </c>
      <c r="B108" s="8" t="inlineStr">
        <is>
          <t>enum_dir</t>
        </is>
      </c>
      <c r="C108" s="9" t="inlineStr">
        <is>
          <t>Ally</t>
        </is>
      </c>
      <c r="D108" s="10" t="inlineStr">
        <is>
          <t>Ally</t>
        </is>
      </c>
      <c r="E108" s="11" t="inlineStr">
        <is>
          <t>进化后作用方向</t>
        </is>
      </c>
    </row>
    <row r="109">
      <c r="A109" s="7" t="inlineStr">
        <is>
          <t>evolvedRange</t>
        </is>
      </c>
      <c r="B109" s="8" t="inlineStr">
        <is>
          <t>int</t>
        </is>
      </c>
      <c r="C109" s="9" t="n">
        <v>3</v>
      </c>
      <c r="D109" s="10" t="n">
        <v>3</v>
      </c>
      <c r="E109" s="11" t="inlineStr">
        <is>
          <t>进化后作用范围</t>
        </is>
      </c>
    </row>
    <row r="110">
      <c r="A110" s="7" t="inlineStr">
        <is>
          <t>evolvedStat</t>
        </is>
      </c>
      <c r="B110" s="8" t="inlineStr">
        <is>
          <t>enum_stat</t>
        </is>
      </c>
      <c r="C110" s="9" t="inlineStr">
        <is>
          <t>Defense</t>
        </is>
      </c>
      <c r="D110" s="10" t="inlineStr">
        <is>
          <t>Defense</t>
        </is>
      </c>
      <c r="E110" s="11" t="inlineStr">
        <is>
          <t>进化后加成属性</t>
        </is>
      </c>
    </row>
    <row r="111">
      <c r="A111" s="7" t="inlineStr">
        <is>
          <t>evolvedAmount</t>
        </is>
      </c>
      <c r="B111" s="8" t="inlineStr">
        <is>
          <t>int</t>
        </is>
      </c>
      <c r="C111" s="9" t="n">
        <v>10</v>
      </c>
      <c r="D111" s="10" t="n">
        <v>10</v>
      </c>
      <c r="E111" s="11" t="inlineStr">
        <is>
          <t>进化后加成数值(可为负值)</t>
        </is>
      </c>
    </row>
    <row r="112">
      <c r="A112" s="7" t="inlineStr">
        <is>
          <t>evolveOverrides</t>
        </is>
      </c>
      <c r="B112" s="8" t="inlineStr">
        <is>
          <t>bool</t>
        </is>
      </c>
      <c r="C112" s="9" t="inlineStr">
        <is>
          <t>true</t>
        </is>
      </c>
      <c r="D112" s="10" t="inlineStr">
        <is>
          <t>true</t>
        </is>
      </c>
      <c r="E112" s="11" t="inlineStr">
        <is>
          <t>下拉选 true=覆盖旧光环；false=新旧叠加</t>
        </is>
      </c>
    </row>
    <row r="113">
      <c r="A113" s="12" t="inlineStr">
        <is>
          <t>className</t>
        </is>
      </c>
      <c r="C113" s="13" t="inlineStr">
        <is>
          <t>LegionAegisPassive</t>
        </is>
      </c>
      <c r="D113" s="14" t="n"/>
      <c r="E113" s="15" t="n"/>
    </row>
    <row r="114" ht="30" customHeight="1">
      <c r="A114" s="12" t="inlineStr">
        <is>
          <t>jsonParams</t>
        </is>
      </c>
      <c r="C114" s="16">
        <f>"{"&amp;CHAR(34)&amp;"affectDirection"&amp;CHAR(34)&amp;":"&amp;CHAR(34)&amp;C103&amp;CHAR(34)&amp;","&amp;CHAR(34)&amp;"affectRange"&amp;CHAR(34)&amp;":"&amp;C104&amp;","&amp;CHAR(34)&amp;"bonusStat"&amp;CHAR(34)&amp;":"&amp;CHAR(34)&amp;C105&amp;CHAR(34)&amp;","&amp;CHAR(34)&amp;"bonusAmount"&amp;CHAR(34)&amp;":"&amp;C106&amp;","&amp;CHAR(34)&amp;"evolveTurns"&amp;CHAR(34)&amp;":"&amp;C107&amp;","&amp;CHAR(34)&amp;"evolvedDirection"&amp;CHAR(34)&amp;":"&amp;CHAR(34)&amp;C108&amp;CHAR(34)&amp;","&amp;CHAR(34)&amp;"evolvedRange"&amp;CHAR(34)&amp;":"&amp;C109&amp;","&amp;CHAR(34)&amp;"evolvedStat"&amp;CHAR(34)&amp;":"&amp;CHAR(34)&amp;C110&amp;CHAR(34)&amp;","&amp;CHAR(34)&amp;"evolvedAmount"&amp;CHAR(34)&amp;":"&amp;C111&amp;","&amp;CHAR(34)&amp;"evolveOverrides"&amp;CHAR(34)&amp;":"&amp;C112&amp;"}"</f>
        <v/>
      </c>
      <c r="D114" s="14" t="n"/>
      <c r="E114" s="15" t="n"/>
    </row>
  </sheetData>
  <mergeCells count="45">
    <mergeCell ref="C16:E16"/>
    <mergeCell ref="C99:E99"/>
    <mergeCell ref="C41:E41"/>
    <mergeCell ref="E26"/>
    <mergeCell ref="E101"/>
    <mergeCell ref="C55:E55"/>
    <mergeCell ref="C93:E93"/>
    <mergeCell ref="C31:E31"/>
    <mergeCell ref="C47:E47"/>
    <mergeCell ref="C9:E9"/>
    <mergeCell ref="A1:E1"/>
    <mergeCell ref="C56:E56"/>
    <mergeCell ref="E81"/>
    <mergeCell ref="C114:E114"/>
    <mergeCell ref="C71:E71"/>
    <mergeCell ref="E12"/>
    <mergeCell ref="E50"/>
    <mergeCell ref="E58"/>
    <mergeCell ref="C23:E23"/>
    <mergeCell ref="C70:E70"/>
    <mergeCell ref="C48:E48"/>
    <mergeCell ref="C17:E17"/>
    <mergeCell ref="C32:E32"/>
    <mergeCell ref="A3:E3"/>
    <mergeCell ref="E5"/>
    <mergeCell ref="A2:E2"/>
    <mergeCell ref="E73"/>
    <mergeCell ref="E44"/>
    <mergeCell ref="C87:E87"/>
    <mergeCell ref="C78:E78"/>
    <mergeCell ref="E19"/>
    <mergeCell ref="C86:E86"/>
    <mergeCell ref="C92:E92"/>
    <mergeCell ref="C24:E24"/>
    <mergeCell ref="C42:E42"/>
    <mergeCell ref="C62:E62"/>
    <mergeCell ref="E65"/>
    <mergeCell ref="C98:E98"/>
    <mergeCell ref="E34"/>
    <mergeCell ref="C79:E79"/>
    <mergeCell ref="E95"/>
    <mergeCell ref="E89"/>
    <mergeCell ref="C113:E113"/>
    <mergeCell ref="C63:E63"/>
    <mergeCell ref="C10:E10"/>
  </mergeCells>
  <dataValidations count="6">
    <dataValidation sqref="C38 C40 C54 C77 C85 C112" showDropDown="0" showInputMessage="0" showErrorMessage="0" allowBlank="1" type="list">
      <formula1>"true,false"</formula1>
    </dataValidation>
    <dataValidation sqref="C75" showDropDown="0" showInputMessage="0" showErrorMessage="0" allowBlank="1" type="list">
      <formula1>"Move,Attack"</formula1>
    </dataValidation>
    <dataValidation sqref="C103 C108" showDropDown="0" showInputMessage="0" showErrorMessage="0" allowBlank="1" type="list">
      <formula1>"Ally,Enemy"</formula1>
    </dataValidation>
    <dataValidation sqref="C105 C110" showDropDown="0" showInputMessage="0" showErrorMessage="0" allowBlank="1" type="list">
      <formula1>"Attack,Defense"</formula1>
    </dataValidation>
    <dataValidation sqref="C8" showDropDown="0" showInputMessage="0" showErrorMessage="0" allowBlank="1" type="list">
      <formula1>"Physical,Magical,True"</formula1>
    </dataValidation>
    <dataValidation sqref="C22" showDropDown="0" showInputMessage="0" showErrorMessage="0" allowBlank="1" type="list">
      <formula1>"All,Physical,Magical,True"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0" customWidth="1" min="4" max="4"/>
    <col width="46" customWidth="1" min="5" max="5"/>
  </cols>
  <sheetData>
    <row r="1">
      <c r="A1" s="1" t="inlineStr">
        <is>
          <t>元素被动配置生成器</t>
        </is>
      </c>
    </row>
    <row r="2">
      <c r="A2" s="2" t="inlineStr">
        <is>
          <t>使用说明：在【填写值】列（黄色底）填数值，下方【jsonParams】自动生成配置 JSON；把 className 和 jsonParams 分别复制到 Unity 的 PassiveConfig 即可。</t>
        </is>
      </c>
    </row>
    <row r="3">
      <c r="A3" s="2" t="inlineStr">
        <is>
          <t>bool 字段直接填 true 或 false（有下拉可选）；enum 字段下拉选择后 jsonParams 会自动带引号（如 kind 的 "True"）。；元素城邦被动脚本位于 Equipment/Effects/Elemental/ 目录</t>
        </is>
      </c>
    </row>
    <row r="5">
      <c r="A5" s="3" t="inlineStr">
        <is>
          <t>◆ 光界之力  ReactionBoostPassive</t>
        </is>
      </c>
      <c r="B5" s="4" t="n"/>
      <c r="C5" s="4" t="n"/>
      <c r="D5" s="4" t="n"/>
      <c r="E5" s="5" t="inlineStr">
        <is>
          <t>发生元素反应时倍率 +percent%（加法叠加，非唯一可叠加；无反应普攻不加成）</t>
        </is>
      </c>
    </row>
    <row r="6">
      <c r="A6" s="6" t="inlineStr">
        <is>
          <t>参数</t>
        </is>
      </c>
      <c r="B6" s="6" t="inlineStr">
        <is>
          <t>类型</t>
        </is>
      </c>
      <c r="C6" s="6" t="inlineStr">
        <is>
          <t>填写值</t>
        </is>
      </c>
      <c r="D6" s="6" t="inlineStr">
        <is>
          <t>默认值</t>
        </is>
      </c>
      <c r="E6" s="6" t="inlineStr">
        <is>
          <t>说明</t>
        </is>
      </c>
    </row>
    <row r="7">
      <c r="A7" s="7" t="inlineStr">
        <is>
          <t>percent</t>
        </is>
      </c>
      <c r="B7" s="8" t="inlineStr">
        <is>
          <t>int</t>
        </is>
      </c>
      <c r="C7" s="9" t="n">
        <v>25</v>
      </c>
      <c r="D7" s="10" t="n">
        <v>25</v>
      </c>
      <c r="E7" s="11" t="inlineStr">
        <is>
          <t>反应倍率加成百分比(加法叠加)</t>
        </is>
      </c>
    </row>
    <row r="8">
      <c r="A8" s="12" t="inlineStr">
        <is>
          <t>className</t>
        </is>
      </c>
      <c r="C8" s="13" t="inlineStr">
        <is>
          <t>ReactionBoostPassive</t>
        </is>
      </c>
      <c r="D8" s="14" t="n"/>
      <c r="E8" s="15" t="n"/>
    </row>
    <row r="9" ht="30" customHeight="1">
      <c r="A9" s="12" t="inlineStr">
        <is>
          <t>jsonParams</t>
        </is>
      </c>
      <c r="C9" s="16">
        <f>"{"&amp;CHAR(34)&amp;"percent"&amp;CHAR(34)&amp;":"&amp;C7&amp;"}"</f>
        <v/>
      </c>
      <c r="D9" s="14" t="n"/>
      <c r="E9" s="15" t="n"/>
    </row>
    <row r="11">
      <c r="A11" s="3" t="inlineStr">
        <is>
          <t>◆ 四元素之力（潮涌/灼火/陨雷/凝冰）  ElementalCorePassive</t>
        </is>
      </c>
      <c r="B11" s="4" t="n"/>
      <c r="C11" s="4" t="n"/>
      <c r="D11" s="4" t="n"/>
      <c r="E11" s="5" t="inlineStr">
        <is>
          <t>四件元素之力共用：按 element 区分元素，反应增强 + 元素量加成 + 超载爆炸。唯一被动需在 PassiveConfig 另填 isUnique=true + uniqueId(四件都填 ElementalCore) + passiveName</t>
        </is>
      </c>
    </row>
    <row r="12">
      <c r="A12" s="6" t="inlineStr">
        <is>
          <t>参数</t>
        </is>
      </c>
      <c r="B12" s="6" t="inlineStr">
        <is>
          <t>类型</t>
        </is>
      </c>
      <c r="C12" s="6" t="inlineStr">
        <is>
          <t>填写值</t>
        </is>
      </c>
      <c r="D12" s="6" t="inlineStr">
        <is>
          <t>默认值</t>
        </is>
      </c>
      <c r="E12" s="6" t="inlineStr">
        <is>
          <t>说明</t>
        </is>
      </c>
    </row>
    <row r="13">
      <c r="A13" s="7" t="inlineStr">
        <is>
          <t>element</t>
        </is>
      </c>
      <c r="B13" s="8" t="inlineStr">
        <is>
          <t>enum_element</t>
        </is>
      </c>
      <c r="C13" s="9" t="inlineStr">
        <is>
          <t>Water</t>
        </is>
      </c>
      <c r="D13" s="10" t="inlineStr">
        <is>
          <t>Water</t>
        </is>
      </c>
      <c r="E13" s="11" t="inlineStr">
        <is>
          <t>下拉选 Water=潮涌 / Fire=灼火 / Thunder=陨雷 / Ice=凝冰</t>
        </is>
      </c>
    </row>
    <row r="14">
      <c r="A14" s="7" t="inlineStr">
        <is>
          <t>multiplierPercent</t>
        </is>
      </c>
      <c r="B14" s="8" t="inlineStr">
        <is>
          <t>int</t>
        </is>
      </c>
      <c r="C14" s="9" t="n">
        <v>20</v>
      </c>
      <c r="D14" s="10" t="n">
        <v>20</v>
      </c>
      <c r="E14" s="11" t="inlineStr">
        <is>
          <t>对应反应倍率加成百分比</t>
        </is>
      </c>
    </row>
    <row r="15">
      <c r="A15" s="7" t="inlineStr">
        <is>
          <t>electroChargeTurns</t>
        </is>
      </c>
      <c r="B15" s="8" t="inlineStr">
        <is>
          <t>int</t>
        </is>
      </c>
      <c r="C15" s="9" t="n">
        <v>2</v>
      </c>
      <c r="D15" s="10" t="n">
        <v>2</v>
      </c>
      <c r="E15" s="11" t="inlineStr">
        <is>
          <t>感电 DoT 延长回合</t>
        </is>
      </c>
    </row>
    <row r="16">
      <c r="A16" s="7" t="inlineStr">
        <is>
          <t>freezeTurns</t>
        </is>
      </c>
      <c r="B16" s="8" t="inlineStr">
        <is>
          <t>int</t>
        </is>
      </c>
      <c r="C16" s="9" t="n">
        <v>1</v>
      </c>
      <c r="D16" s="10" t="n">
        <v>1</v>
      </c>
      <c r="E16" s="11" t="inlineStr">
        <is>
          <t>冻结延长回合</t>
        </is>
      </c>
    </row>
    <row r="17">
      <c r="A17" s="7" t="inlineStr">
        <is>
          <t>superconductDefense</t>
        </is>
      </c>
      <c r="B17" s="8" t="inlineStr">
        <is>
          <t>int</t>
        </is>
      </c>
      <c r="C17" s="9" t="n">
        <v>5</v>
      </c>
      <c r="D17" s="10" t="n">
        <v>5</v>
      </c>
      <c r="E17" s="11" t="inlineStr">
        <is>
          <t>超导减防加成值</t>
        </is>
      </c>
    </row>
    <row r="18">
      <c r="A18" s="7" t="inlineStr">
        <is>
          <t>superconductTurns</t>
        </is>
      </c>
      <c r="B18" s="8" t="inlineStr">
        <is>
          <t>int</t>
        </is>
      </c>
      <c r="C18" s="9" t="n">
        <v>2</v>
      </c>
      <c r="D18" s="10" t="n">
        <v>2</v>
      </c>
      <c r="E18" s="11" t="inlineStr">
        <is>
          <t>超导减防持续延长回合</t>
        </is>
      </c>
    </row>
    <row r="19">
      <c r="A19" s="7" t="inlineStr">
        <is>
          <t>extraGauge</t>
        </is>
      </c>
      <c r="B19" s="8" t="inlineStr">
        <is>
          <t>int</t>
        </is>
      </c>
      <c r="C19" s="9" t="n">
        <v>1</v>
      </c>
      <c r="D19" s="10" t="n">
        <v>1</v>
      </c>
      <c r="E19" s="11" t="inlineStr">
        <is>
          <t>对应元素普攻额外元素量</t>
        </is>
      </c>
    </row>
    <row r="20">
      <c r="A20" s="7" t="inlineStr">
        <is>
          <t>explosionRadius</t>
        </is>
      </c>
      <c r="B20" s="8" t="inlineStr">
        <is>
          <t>int</t>
        </is>
      </c>
      <c r="C20" s="9" t="n">
        <v>1</v>
      </c>
      <c r="D20" s="10" t="n">
        <v>1</v>
      </c>
      <c r="E20" s="11" t="inlineStr">
        <is>
          <t>超载爆炸范围(距离≤该值)</t>
        </is>
      </c>
    </row>
    <row r="21">
      <c r="A21" s="7" t="inlineStr">
        <is>
          <t>explosionBase</t>
        </is>
      </c>
      <c r="B21" s="8" t="inlineStr">
        <is>
          <t>int</t>
        </is>
      </c>
      <c r="C21" s="9" t="n">
        <v>1</v>
      </c>
      <c r="D21" s="10" t="n">
        <v>1</v>
      </c>
      <c r="E21" s="11" t="inlineStr">
        <is>
          <t>爆炸基础伤害</t>
        </is>
      </c>
    </row>
    <row r="22">
      <c r="A22" s="7" t="inlineStr">
        <is>
          <t>explosionDivisor</t>
        </is>
      </c>
      <c r="B22" s="8" t="inlineStr">
        <is>
          <t>int</t>
        </is>
      </c>
      <c r="C22" s="9" t="n">
        <v>5</v>
      </c>
      <c r="D22" s="10" t="n">
        <v>5</v>
      </c>
      <c r="E22" s="11" t="inlineStr">
        <is>
          <t>每 divisor 点伤害 +1</t>
        </is>
      </c>
    </row>
    <row r="23">
      <c r="A23" s="12" t="inlineStr">
        <is>
          <t>className</t>
        </is>
      </c>
      <c r="C23" s="13" t="inlineStr">
        <is>
          <t>ElementalCorePassive</t>
        </is>
      </c>
      <c r="D23" s="14" t="n"/>
      <c r="E23" s="15" t="n"/>
    </row>
    <row r="24" ht="30" customHeight="1">
      <c r="A24" s="12" t="inlineStr">
        <is>
          <t>jsonParams</t>
        </is>
      </c>
      <c r="C24" s="16">
        <f>"{"&amp;CHAR(34)&amp;"element"&amp;CHAR(34)&amp;":"&amp;CHAR(34)&amp;C13&amp;CHAR(34)&amp;","&amp;CHAR(34)&amp;"multiplierPercent"&amp;CHAR(34)&amp;":"&amp;C14&amp;","&amp;CHAR(34)&amp;"electroChargeTurns"&amp;CHAR(34)&amp;":"&amp;C15&amp;","&amp;CHAR(34)&amp;"freezeTurns"&amp;CHAR(34)&amp;":"&amp;C16&amp;","&amp;CHAR(34)&amp;"superconductDefense"&amp;CHAR(34)&amp;":"&amp;C17&amp;","&amp;CHAR(34)&amp;"superconductTurns"&amp;CHAR(34)&amp;":"&amp;C18&amp;","&amp;CHAR(34)&amp;"extraGauge"&amp;CHAR(34)&amp;":"&amp;C19&amp;","&amp;CHAR(34)&amp;"explosionRadius"&amp;CHAR(34)&amp;":"&amp;C20&amp;","&amp;CHAR(34)&amp;"explosionBase"&amp;CHAR(34)&amp;":"&amp;C21&amp;","&amp;CHAR(34)&amp;"explosionDivisor"&amp;CHAR(34)&amp;":"&amp;C22&amp;"}"</f>
        <v/>
      </c>
      <c r="D24" s="14" t="n"/>
      <c r="E24" s="15" t="n"/>
    </row>
  </sheetData>
  <mergeCells count="9">
    <mergeCell ref="C24:E24"/>
    <mergeCell ref="A2:E2"/>
    <mergeCell ref="C23:E23"/>
    <mergeCell ref="C8:E8"/>
    <mergeCell ref="C9:E9"/>
    <mergeCell ref="A3:E3"/>
    <mergeCell ref="A1:E1"/>
    <mergeCell ref="E11"/>
    <mergeCell ref="E5"/>
  </mergeCells>
  <dataValidations count="1">
    <dataValidation sqref="C13" showDropDown="0" showInputMessage="0" showErrorMessage="0" allowBlank="1" type="list">
      <formula1>"Water,Fire,Thunder,Ice"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42" customWidth="1" min="4" max="4"/>
    <col width="40" customWidth="1" min="5" max="5"/>
  </cols>
  <sheetData>
    <row r="1">
      <c r="A1" s="1" t="inlineStr">
        <is>
          <t>通用被动速查</t>
        </is>
      </c>
    </row>
    <row r="2">
      <c r="A2" s="6" t="inlineStr">
        <is>
          <t>类名</t>
        </is>
      </c>
      <c r="B2" s="6" t="inlineStr">
        <is>
          <t>中文名</t>
        </is>
      </c>
      <c r="C2" s="6" t="inlineStr">
        <is>
          <t>状态</t>
        </is>
      </c>
      <c r="D2" s="6" t="inlineStr">
        <is>
          <t>参数</t>
        </is>
      </c>
      <c r="E2" s="6" t="inlineStr">
        <is>
          <t>说明</t>
        </is>
      </c>
    </row>
    <row r="3">
      <c r="A3" s="17" t="inlineStr">
        <is>
          <t>ExtraDamagePassive</t>
        </is>
      </c>
      <c r="B3" s="17" t="inlineStr">
        <is>
          <t>附加伤害</t>
        </is>
      </c>
      <c r="C3" s="18" t="inlineStr">
        <is>
          <t>✅已实现</t>
        </is>
      </c>
      <c r="D3" s="17" t="inlineStr">
        <is>
          <t>amount, kind</t>
        </is>
      </c>
      <c r="E3" s="17" t="inlineStr">
        <is>
          <t>攻击追加独立伤害，kind 决定类型(默认真实)</t>
        </is>
      </c>
    </row>
    <row r="4">
      <c r="A4" s="17" t="inlineStr">
        <is>
          <t>LifestealPassive</t>
        </is>
      </c>
      <c r="B4" s="17" t="inlineStr">
        <is>
          <t>吸血/饮血剑</t>
        </is>
      </c>
      <c r="C4" s="18" t="inlineStr">
        <is>
          <t>✅已实现</t>
        </is>
      </c>
      <c r="D4" s="17" t="inlineStr">
        <is>
          <t>baseHeal, percent</t>
        </is>
      </c>
      <c r="E4" s="17" t="inlineStr">
        <is>
          <t>攻击后回 baseHeal+伤害×percent%</t>
        </is>
      </c>
    </row>
    <row r="5">
      <c r="A5" s="17" t="inlineStr">
        <is>
          <t>DamageReductionPassive</t>
        </is>
      </c>
      <c r="B5" s="17" t="inlineStr">
        <is>
          <t>减伤</t>
        </is>
      </c>
      <c r="C5" s="18" t="inlineStr">
        <is>
          <t>✅已实现</t>
        </is>
      </c>
      <c r="D5" s="17" t="inlineStr">
        <is>
          <t>amount, filter</t>
        </is>
      </c>
      <c r="E5" s="17" t="inlineStr">
        <is>
          <t>受击时伤害-amount(下限1)，filter 筛选类型</t>
        </is>
      </c>
    </row>
    <row r="6">
      <c r="A6" s="17" t="inlineStr">
        <is>
          <t>RegenPassive</t>
        </is>
      </c>
      <c r="B6" s="17" t="inlineStr">
        <is>
          <t>再生/生命铠甲</t>
        </is>
      </c>
      <c r="C6" s="18" t="inlineStr">
        <is>
          <t>✅已实现</t>
        </is>
      </c>
      <c r="D6" s="17" t="inlineStr">
        <is>
          <t>baseAmount, upgradedAmount, upgradeThreshold</t>
        </is>
      </c>
      <c r="E6" s="17" t="inlineStr">
        <is>
          <t>回合回血，连续未受伤N回合进化</t>
        </is>
      </c>
    </row>
    <row r="7">
      <c r="A7" s="17" t="inlineStr">
        <is>
          <t>ThornsPassive</t>
        </is>
      </c>
      <c r="B7" s="17" t="inlineStr">
        <is>
          <t>反伤/荆棘刺甲</t>
        </is>
      </c>
      <c r="C7" s="18" t="inlineStr">
        <is>
          <t>✅已实现</t>
        </is>
      </c>
      <c r="D7" s="17" t="inlineStr">
        <is>
          <t>amount, percent, affectedByDefense, reflectRadius, alwaysReflectAttacker</t>
        </is>
      </c>
      <c r="E7" s="17" t="inlineStr">
        <is>
          <t>只反物理伤害，可配置范围/防御减伤</t>
        </is>
      </c>
    </row>
    <row r="8">
      <c r="A8" s="17" t="inlineStr">
        <is>
          <t>KillAttackPassive</t>
        </is>
      </c>
      <c r="B8" s="17" t="inlineStr">
        <is>
          <t>击杀加攻/死亡之刃</t>
        </is>
      </c>
      <c r="C8" s="18" t="inlineStr">
        <is>
          <t>✅已实现</t>
        </is>
      </c>
      <c r="D8" s="17" t="inlineStr">
        <is>
          <t>amount</t>
        </is>
      </c>
      <c r="E8" s="17" t="inlineStr">
        <is>
          <t>击杀后攻击永久+amount(叠层随装备)</t>
        </is>
      </c>
    </row>
    <row r="9">
      <c r="A9" s="17" t="inlineStr">
        <is>
          <t>StoneSkinPassive</t>
        </is>
      </c>
      <c r="B9" s="17" t="inlineStr">
        <is>
          <t>石像鬼板甲</t>
        </is>
      </c>
      <c r="C9" s="18" t="inlineStr">
        <is>
          <t>✅已实现</t>
        </is>
      </c>
      <c r="D9" s="17" t="inlineStr">
        <is>
          <t>defenseBonus, timerTurns, triggerOnNoDamage</t>
        </is>
      </c>
      <c r="E9" s="17" t="inlineStr">
        <is>
          <t>被不同敌人攻击叠防，计时归零清空</t>
        </is>
      </c>
    </row>
    <row r="10">
      <c r="A10" s="17" t="inlineStr">
        <is>
          <t>WitherPassive</t>
        </is>
      </c>
      <c r="B10" s="17" t="inlineStr">
        <is>
          <t>枯萎宝珠</t>
        </is>
      </c>
      <c r="C10" s="18" t="inlineStr">
        <is>
          <t>✅已实现</t>
        </is>
      </c>
      <c r="D10" s="17" t="inlineStr">
        <is>
          <t>defenseReduction, duration</t>
        </is>
      </c>
      <c r="E10" s="17" t="inlineStr">
        <is>
          <t>攻击命中目标减防(debuff)</t>
        </is>
      </c>
    </row>
    <row r="11">
      <c r="A11" s="17" t="inlineStr">
        <is>
          <t>SpiritBannerPassive</t>
        </is>
      </c>
      <c r="B11" s="17" t="inlineStr">
        <is>
          <t>英灵幡</t>
        </is>
      </c>
      <c r="C11" s="18" t="inlineStr">
        <is>
          <t>✅已实现</t>
        </is>
      </c>
      <c r="D11" s="17" t="inlineStr">
        <is>
          <t>instantEnergy, regenEnergyPerTurn, durationTurns</t>
        </is>
      </c>
      <c r="E11" s="17" t="inlineStr">
        <is>
          <t>己方死亡立刻回蓝+持续回蓝</t>
        </is>
      </c>
    </row>
    <row r="12">
      <c r="A12" s="17" t="inlineStr">
        <is>
          <t>FreeAPPassive</t>
        </is>
      </c>
      <c r="B12" s="17" t="inlineStr">
        <is>
          <t>免AP/探索者护臂·诸葛连弩</t>
        </is>
      </c>
      <c r="C12" s="18" t="inlineStr">
        <is>
          <t>✅已实现</t>
        </is>
      </c>
      <c r="D12" s="17" t="inlineStr">
        <is>
          <t>freeType, cooldownTurns, gainEnergy</t>
        </is>
      </c>
      <c r="E12" s="17" t="inlineStr">
        <is>
          <t>移动免AP/攻击连射，4回合冷却，可开关充能</t>
        </is>
      </c>
    </row>
    <row r="13">
      <c r="A13" s="17" t="inlineStr">
        <is>
          <t>DeathDancePassive</t>
        </is>
      </c>
      <c r="B13" s="17" t="inlineStr">
        <is>
          <t>死亡之蔑</t>
        </is>
      </c>
      <c r="C13" s="18" t="inlineStr">
        <is>
          <t>✅已实现</t>
        </is>
      </c>
      <c r="D13" s="17" t="inlineStr">
        <is>
          <t>delayPercent, delayTurns, realTimeDamage</t>
        </is>
      </c>
      <c r="E13" s="17" t="inlineStr">
        <is>
          <t>受击伤害延迟到后续回合平分结算，可随防御实时微调</t>
        </is>
      </c>
    </row>
    <row r="14">
      <c r="A14" s="17" t="inlineStr">
        <is>
          <t>FirstDamageToOnePassive</t>
        </is>
      </c>
      <c r="B14" s="17" t="inlineStr">
        <is>
          <t>首伤=1/中娅悖论</t>
        </is>
      </c>
      <c r="C14" s="18" t="inlineStr">
        <is>
          <t>✅已实现</t>
        </is>
      </c>
      <c r="D14" s="17" t="inlineStr">
        <is>
          <t>cooldownTurns</t>
        </is>
      </c>
      <c r="E14" s="17" t="inlineStr">
        <is>
          <t>冷却内受击伤害降为1</t>
        </is>
      </c>
    </row>
    <row r="15">
      <c r="A15" s="17" t="inlineStr">
        <is>
          <t>DeathDefyPassive</t>
        </is>
      </c>
      <c r="B15" s="17" t="inlineStr">
        <is>
          <t>免死/中娅悖论</t>
        </is>
      </c>
      <c r="C15" s="18" t="inlineStr">
        <is>
          <t>✅已实现</t>
        </is>
      </c>
      <c r="D15" s="17" t="inlineStr">
        <is>
          <t>cooldownTurns</t>
        </is>
      </c>
      <c r="E15" s="17" t="inlineStr">
        <is>
          <t>致命伤回1HP免死一次，冷却</t>
        </is>
      </c>
    </row>
    <row r="16">
      <c r="A16" s="17" t="inlineStr">
        <is>
          <t>LegionAegisPassive</t>
        </is>
      </c>
      <c r="B16" s="17" t="inlineStr">
        <is>
          <t>军团圣盾</t>
        </is>
      </c>
      <c r="C16" s="18" t="inlineStr">
        <is>
          <t>✅已实现</t>
        </is>
      </c>
      <c r="D16" s="17" t="inlineStr">
        <is>
          <t>affectDirection, affectRange, bonusStat, bonusAmount, evolveTurns, evolved* , evolveOverrides</t>
        </is>
      </c>
      <c r="E16" s="17" t="inlineStr">
        <is>
          <t>光环+进化+唯一被动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42" customWidth="1" min="4" max="4"/>
    <col width="40" customWidth="1" min="5" max="5"/>
  </cols>
  <sheetData>
    <row r="1">
      <c r="A1" s="1" t="inlineStr">
        <is>
          <t>元素被动速查</t>
        </is>
      </c>
    </row>
    <row r="2">
      <c r="A2" s="6" t="inlineStr">
        <is>
          <t>类名</t>
        </is>
      </c>
      <c r="B2" s="6" t="inlineStr">
        <is>
          <t>中文名</t>
        </is>
      </c>
      <c r="C2" s="6" t="inlineStr">
        <is>
          <t>状态</t>
        </is>
      </c>
      <c r="D2" s="6" t="inlineStr">
        <is>
          <t>参数</t>
        </is>
      </c>
      <c r="E2" s="6" t="inlineStr">
        <is>
          <t>说明</t>
        </is>
      </c>
    </row>
    <row r="3">
      <c r="A3" s="17" t="inlineStr">
        <is>
          <t>ReactionBoostPassive</t>
        </is>
      </c>
      <c r="B3" s="17" t="inlineStr">
        <is>
          <t>光界之力</t>
        </is>
      </c>
      <c r="C3" s="18" t="inlineStr">
        <is>
          <t>✅已实现</t>
        </is>
      </c>
      <c r="D3" s="17" t="inlineStr">
        <is>
          <t>percent</t>
        </is>
      </c>
      <c r="E3" s="17" t="inlineStr">
        <is>
          <t>反应倍率+percent%(加法叠加，非唯一)</t>
        </is>
      </c>
    </row>
    <row r="4">
      <c r="A4" s="17" t="inlineStr">
        <is>
          <t>ElementalCorePassive</t>
        </is>
      </c>
      <c r="B4" s="17" t="inlineStr">
        <is>
          <t>四元素之力(潮涌/灼火/陨雷/凝冰)</t>
        </is>
      </c>
      <c r="C4" s="18" t="inlineStr">
        <is>
          <t>✅已实现</t>
        </is>
      </c>
      <c r="D4" s="17" t="inlineStr">
        <is>
          <t>element, multiplierPercent, electroChargeTurns, freezeTurns, superconductDefense, superconductTurns, extraGauge, explosion*</t>
        </is>
      </c>
      <c r="E4" s="17" t="inlineStr">
        <is>
          <t>反应增强+元素量加成+超载爆炸，唯一(uniqueId=ElementalCore)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2026-08-17T17:47:58Z</dcterms:created>
  <dcterms:modified xmlns:dcterms="http://purl.org/dc/terms/" xmlns:xsi="http://www.w3.org/2001/XMLSchema-instance" xsi:type="dcterms:W3CDTF">2026-08-17T17:47:58Z</dcterms:modified>
</cp:coreProperties>
</file>