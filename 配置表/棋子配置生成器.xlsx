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Game\"/>
    </mc:Choice>
  </mc:AlternateContent>
  <bookViews>
    <workbookView windowWidth="25600" windowHeight="12080" activeTab="1"/>
  </bookViews>
  <sheets>
    <sheet name="棋子被动配置生成器" sheetId="1" r:id="rId1"/>
    <sheet name="棋子大招配置生成器" sheetId="2" r:id="rId2"/>
    <sheet name="移动配置生成器" sheetId="3" r:id="rId3"/>
    <sheet name="攻击配置生成器" sheetId="4" r:id="rId4"/>
    <sheet name="棋子效果速查" sheetId="5" r:id="rId5"/>
    <sheet name="棋子配置清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<sst xmlns="http://schemas.openxmlformats.org/spreadsheetml/2006/main" count="982" uniqueCount="447">
  <si>
    <r>
      <rPr>
        <b/>
        <sz val="16"/>
        <color rgb="FF1F3864"/>
        <rFont val="微软雅黑"/>
        <charset val="134"/>
      </rPr>
      <t>棋子被动配置生成器</t>
    </r>
  </si>
  <si>
    <r>
      <rPr>
        <sz val="10"/>
        <color rgb="FF595959"/>
        <rFont val="微软雅黑"/>
        <charset val="134"/>
      </rPr>
      <t>使用说明：在【填写值】列（黄色底）填数值，下方【jsonParams】自动生成配置 JSON；把 className 和 jsonParams 复制到 Unity 对应配置即可。</t>
    </r>
  </si>
  <si>
    <r>
      <rPr>
        <sz val="10"/>
        <color rgb="FF595959"/>
        <rFont val="微软雅黑"/>
        <charset val="134"/>
      </rPr>
      <t>九个棋子的内建被动配置（含傀儡 PuppetPassive；带元素参数，默认附着先天元素触发反应）</t>
    </r>
  </si>
  <si>
    <r>
      <rPr>
        <b/>
        <sz val="12"/>
        <color rgb="FFFFFFFF"/>
        <rFont val="微软雅黑"/>
        <charset val="134"/>
      </rPr>
      <t>◆ 杜林（火） · 炎星溅射  FlameNovaPassive</t>
    </r>
  </si>
  <si>
    <r>
      <rPr>
        <sz val="9"/>
        <color rgb="FFFFFFFF"/>
        <rFont val="微软雅黑"/>
        <charset val="134"/>
      </rPr>
      <t>普攻命中后对自身周围 splashRadius 格内敌方造成物理伤害（带火元素，触发反应）</t>
    </r>
  </si>
  <si>
    <r>
      <rPr>
        <b/>
        <sz val="10"/>
        <color rgb="FFFFFFFF"/>
        <rFont val="微软雅黑"/>
        <charset val="134"/>
      </rPr>
      <t>参数</t>
    </r>
  </si>
  <si>
    <r>
      <rPr>
        <b/>
        <sz val="10"/>
        <color rgb="FFFFFFFF"/>
        <rFont val="微软雅黑"/>
        <charset val="134"/>
      </rPr>
      <t>类型</t>
    </r>
  </si>
  <si>
    <r>
      <rPr>
        <b/>
        <sz val="10"/>
        <color rgb="FFFFFFFF"/>
        <rFont val="微软雅黑"/>
        <charset val="134"/>
      </rPr>
      <t>填写值</t>
    </r>
  </si>
  <si>
    <r>
      <rPr>
        <b/>
        <sz val="10"/>
        <color rgb="FFFFFFFF"/>
        <rFont val="微软雅黑"/>
        <charset val="134"/>
      </rPr>
      <t>默认值</t>
    </r>
  </si>
  <si>
    <r>
      <rPr>
        <b/>
        <sz val="10"/>
        <color rgb="FFFFFFFF"/>
        <rFont val="微软雅黑"/>
        <charset val="134"/>
      </rPr>
      <t>说明</t>
    </r>
  </si>
  <si>
    <r>
      <rPr>
        <b/>
        <sz val="10"/>
        <color rgb="FF1F3864"/>
        <rFont val="Consolas"/>
        <charset val="134"/>
      </rPr>
      <t>baseDamage</t>
    </r>
  </si>
  <si>
    <r>
      <rPr>
        <sz val="11"/>
        <color theme="1"/>
        <rFont val="宋体"/>
        <charset val="134"/>
        <scheme val="minor"/>
      </rPr>
      <t>int</t>
    </r>
  </si>
  <si>
    <r>
      <rPr>
        <sz val="11"/>
        <color theme="1"/>
        <rFont val="宋体"/>
        <charset val="134"/>
        <scheme val="minor"/>
      </rPr>
      <t>溅射基础伤害数值</t>
    </r>
  </si>
  <si>
    <r>
      <rPr>
        <b/>
        <sz val="10"/>
        <color rgb="FF1F3864"/>
        <rFont val="Consolas"/>
        <charset val="134"/>
      </rPr>
      <t>attackPercent</t>
    </r>
  </si>
  <si>
    <r>
      <rPr>
        <sz val="11"/>
        <color theme="1"/>
        <rFont val="宋体"/>
        <charset val="134"/>
        <scheme val="minor"/>
      </rPr>
      <t>按攻击力比例溅射(0-100)</t>
    </r>
  </si>
  <si>
    <r>
      <rPr>
        <b/>
        <sz val="10"/>
        <color rgb="FF1F3864"/>
        <rFont val="Consolas"/>
        <charset val="134"/>
      </rPr>
      <t>splashRadius</t>
    </r>
  </si>
  <si>
    <r>
      <rPr>
        <sz val="11"/>
        <color theme="1"/>
        <rFont val="宋体"/>
        <charset val="134"/>
        <scheme val="minor"/>
      </rPr>
      <t>以自身为圆心的溅射半径(格)</t>
    </r>
  </si>
  <si>
    <r>
      <rPr>
        <b/>
        <sz val="10"/>
        <color rgb="FF1F3864"/>
        <rFont val="Consolas"/>
        <charset val="134"/>
      </rPr>
      <t>goldPercent</t>
    </r>
  </si>
  <si>
    <r>
      <rPr>
        <sz val="11"/>
        <color theme="1"/>
        <rFont val="宋体"/>
        <charset val="134"/>
        <scheme val="minor"/>
      </rPr>
      <t>float</t>
    </r>
  </si>
  <si>
    <r>
      <rPr>
        <sz val="11"/>
        <color theme="1"/>
        <rFont val="宋体"/>
        <charset val="134"/>
        <scheme val="minor"/>
      </rPr>
      <t>溅射伤害转金币比例(0=不产金币)</t>
    </r>
  </si>
  <si>
    <r>
      <rPr>
        <b/>
        <sz val="10"/>
        <color rgb="FF1F3864"/>
        <rFont val="Consolas"/>
        <charset val="134"/>
      </rPr>
      <t>elemental</t>
    </r>
  </si>
  <si>
    <r>
      <rPr>
        <sz val="11"/>
        <color theme="1"/>
        <rFont val="宋体"/>
        <charset val="134"/>
        <scheme val="minor"/>
      </rPr>
      <t>bool</t>
    </r>
  </si>
  <si>
    <r>
      <rPr>
        <sz val="11"/>
        <color theme="1"/>
        <rFont val="宋体"/>
        <charset val="134"/>
        <scheme val="minor"/>
      </rPr>
      <t>true</t>
    </r>
  </si>
  <si>
    <r>
      <rPr>
        <sz val="11"/>
        <color theme="1"/>
        <rFont val="宋体"/>
        <charset val="134"/>
        <scheme val="minor"/>
      </rPr>
      <t>是否附着火元素触发反应</t>
    </r>
  </si>
  <si>
    <r>
      <rPr>
        <b/>
        <sz val="10"/>
        <rFont val="微软雅黑"/>
        <charset val="134"/>
      </rPr>
      <t>className</t>
    </r>
  </si>
  <si>
    <r>
      <rPr>
        <b/>
        <sz val="10"/>
        <color rgb="FF006100"/>
        <rFont val="Consolas"/>
        <charset val="134"/>
      </rPr>
      <t>FlameNovaPassive</t>
    </r>
  </si>
  <si>
    <r>
      <rPr>
        <b/>
        <sz val="10"/>
        <rFont val="微软雅黑"/>
        <charset val="134"/>
      </rPr>
      <t>jsonParams</t>
    </r>
  </si>
  <si>
    <r>
      <rPr>
        <b/>
        <sz val="12"/>
        <color rgb="FFFFFFFF"/>
        <rFont val="微软雅黑"/>
        <charset val="134"/>
      </rPr>
      <t>◆ 菲林斯（雷） · 雷蚀强化  SparkEmpowerPassive</t>
    </r>
  </si>
  <si>
    <r>
      <rPr>
        <sz val="9"/>
        <color rgb="FFFFFFFF"/>
        <rFont val="微软雅黑"/>
        <charset val="134"/>
      </rPr>
      <t>普攻命中后进入强化状态持续 duration 回合，强化态改变大招形态</t>
    </r>
  </si>
  <si>
    <r>
      <rPr>
        <b/>
        <sz val="10"/>
        <color rgb="FF1F3864"/>
        <rFont val="Consolas"/>
        <charset val="134"/>
      </rPr>
      <t>duration</t>
    </r>
  </si>
  <si>
    <r>
      <rPr>
        <sz val="11"/>
        <color theme="1"/>
        <rFont val="宋体"/>
        <charset val="134"/>
        <scheme val="minor"/>
      </rPr>
      <t>强化状态持续回合数</t>
    </r>
  </si>
  <si>
    <r>
      <rPr>
        <b/>
        <sz val="10"/>
        <color rgb="FF006100"/>
        <rFont val="Consolas"/>
        <charset val="134"/>
      </rPr>
      <t>SparkEmpowerPassive</t>
    </r>
  </si>
  <si>
    <r>
      <rPr>
        <b/>
        <sz val="12"/>
        <color rgb="FFFFFFFF"/>
        <rFont val="微软雅黑"/>
        <charset val="134"/>
      </rPr>
      <t>◆ 克洛琳德（雷） · 雷径惩戒  VoltPathPassive</t>
    </r>
  </si>
  <si>
    <r>
      <rPr>
        <sz val="9"/>
        <color rgb="FFFFFFFF"/>
        <rFont val="微软雅黑"/>
        <charset val="134"/>
      </rPr>
      <t>移动路径飞越的敌方棋子受到物理伤害（带雷元素，触发超导/感电）</t>
    </r>
  </si>
  <si>
    <r>
      <rPr>
        <sz val="11"/>
        <color theme="1"/>
        <rFont val="宋体"/>
        <charset val="134"/>
        <scheme val="minor"/>
      </rPr>
      <t>路径伤害基础数值</t>
    </r>
  </si>
  <si>
    <r>
      <rPr>
        <sz val="11"/>
        <color theme="1"/>
        <rFont val="宋体"/>
        <charset val="134"/>
        <scheme val="minor"/>
      </rPr>
      <t>按攻击力比例伤害(0-100)</t>
    </r>
  </si>
  <si>
    <r>
      <rPr>
        <sz val="11"/>
        <color theme="1"/>
        <rFont val="宋体"/>
        <charset val="134"/>
        <scheme val="minor"/>
      </rPr>
      <t>是否附着雷元素触发反应</t>
    </r>
  </si>
  <si>
    <r>
      <rPr>
        <b/>
        <sz val="10"/>
        <color rgb="FF006100"/>
        <rFont val="Consolas"/>
        <charset val="134"/>
      </rPr>
      <t>VoltPathPassive</t>
    </r>
  </si>
  <si>
    <r>
      <rPr>
        <b/>
        <sz val="12"/>
        <color rgb="FFFFFFFF"/>
        <rFont val="微软雅黑"/>
        <charset val="134"/>
      </rPr>
      <t>◆ 哥伦比亚（水） · 生命之息  RevivePassive</t>
    </r>
  </si>
  <si>
    <r>
      <rPr>
        <sz val="9"/>
        <color rgb="FFFFFFFF"/>
        <rFont val="微软雅黑"/>
        <charset val="134"/>
      </rPr>
      <t>己方棋子死亡时立即原地复活 reviveHp 血（一局仅触发一次）</t>
    </r>
  </si>
  <si>
    <r>
      <rPr>
        <b/>
        <sz val="10"/>
        <color rgb="FF1F3864"/>
        <rFont val="Consolas"/>
        <charset val="134"/>
      </rPr>
      <t>reviveHp</t>
    </r>
  </si>
  <si>
    <r>
      <rPr>
        <sz val="11"/>
        <color theme="1"/>
        <rFont val="宋体"/>
        <charset val="134"/>
        <scheme val="minor"/>
      </rPr>
      <t>复活后的生命值</t>
    </r>
  </si>
  <si>
    <r>
      <rPr>
        <b/>
        <sz val="10"/>
        <color rgb="FF006100"/>
        <rFont val="Consolas"/>
        <charset val="134"/>
      </rPr>
      <t>RevivePassive</t>
    </r>
  </si>
  <si>
    <r>
      <rPr>
        <b/>
        <sz val="12"/>
        <color rgb="FFFFFFFF"/>
        <rFont val="微软雅黑"/>
        <charset val="134"/>
      </rPr>
      <t>◆ 安柏（火） · 快速射击  DoubleStrikePassive</t>
    </r>
  </si>
  <si>
    <r>
      <rPr>
        <sz val="9"/>
        <color rgb="FFFFFFFF"/>
        <rFont val="微软雅黑"/>
        <charset val="134"/>
      </rPr>
      <t>普攻造成两次物理伤害（第二段 percent% 攻击力，完整管道、不重复充能）</t>
    </r>
  </si>
  <si>
    <r>
      <rPr>
        <b/>
        <sz val="10"/>
        <color rgb="FF1F3864"/>
        <rFont val="Consolas"/>
        <charset val="134"/>
      </rPr>
      <t>percent</t>
    </r>
  </si>
  <si>
    <r>
      <rPr>
        <sz val="11"/>
        <color theme="1"/>
        <rFont val="宋体"/>
        <charset val="134"/>
        <scheme val="minor"/>
      </rPr>
      <t>第二段攻击力百分比(100=完整一段)</t>
    </r>
  </si>
  <si>
    <r>
      <rPr>
        <b/>
        <sz val="10"/>
        <color rgb="FF006100"/>
        <rFont val="Consolas"/>
        <charset val="134"/>
      </rPr>
      <t>DoubleStrikePassive</t>
    </r>
  </si>
  <si>
    <r>
      <rPr>
        <b/>
        <sz val="12"/>
        <color rgb="FFFFFFFF"/>
        <rFont val="微软雅黑"/>
        <charset val="134"/>
      </rPr>
      <t>◆ 兔兔伯爵（傀儡） · 傀儡核心  PuppetPassive</t>
    </r>
  </si>
  <si>
    <r>
      <rPr>
        <sz val="9"/>
        <color rgb="FFFFFFFF"/>
        <rFont val="微软雅黑"/>
        <charset val="134"/>
      </rPr>
      <t>傀儡行为核心：受击计数引爆 / 持续回合引爆 / 嘲讽光环 / 爆炸（物理+主人火元素）</t>
    </r>
  </si>
  <si>
    <r>
      <rPr>
        <b/>
        <sz val="10"/>
        <color rgb="FF1F3864"/>
        <rFont val="Consolas"/>
        <charset val="134"/>
      </rPr>
      <t>hitsToDetonate</t>
    </r>
  </si>
  <si>
    <r>
      <rPr>
        <sz val="11"/>
        <color theme="1"/>
        <rFont val="宋体"/>
        <charset val="134"/>
        <scheme val="minor"/>
      </rPr>
      <t>受击次数满则引爆</t>
    </r>
  </si>
  <si>
    <r>
      <rPr>
        <b/>
        <sz val="10"/>
        <color rgb="FF1F3864"/>
        <rFont val="Consolas"/>
        <charset val="134"/>
      </rPr>
      <t>maxTurns</t>
    </r>
  </si>
  <si>
    <r>
      <rPr>
        <sz val="11"/>
        <color theme="1"/>
        <rFont val="宋体"/>
        <charset val="134"/>
        <scheme val="minor"/>
      </rPr>
      <t>持续回合满则引爆</t>
    </r>
  </si>
  <si>
    <r>
      <rPr>
        <b/>
        <sz val="10"/>
        <color rgb="FF1F3864"/>
        <rFont val="Consolas"/>
        <charset val="134"/>
      </rPr>
      <t>tauntRange</t>
    </r>
  </si>
  <si>
    <r>
      <rPr>
        <sz val="11"/>
        <color theme="1"/>
        <rFont val="宋体"/>
        <charset val="134"/>
        <scheme val="minor"/>
      </rPr>
      <t>距傀儡≤此距离的敌方只能攻击傀儡</t>
    </r>
  </si>
  <si>
    <r>
      <rPr>
        <b/>
        <sz val="10"/>
        <color rgb="FF1F3864"/>
        <rFont val="Consolas"/>
        <charset val="134"/>
      </rPr>
      <t>explosionRadius</t>
    </r>
  </si>
  <si>
    <r>
      <rPr>
        <sz val="11"/>
        <color theme="1"/>
        <rFont val="宋体"/>
        <charset val="134"/>
        <scheme val="minor"/>
      </rPr>
      <t>引爆对周围格伤害范围</t>
    </r>
  </si>
  <si>
    <r>
      <rPr>
        <sz val="11"/>
        <color theme="1"/>
        <rFont val="宋体"/>
        <charset val="134"/>
        <scheme val="minor"/>
      </rPr>
      <t>引爆基础伤害数值</t>
    </r>
  </si>
  <si>
    <r>
      <rPr>
        <sz val="11"/>
        <color theme="1"/>
        <rFont val="宋体"/>
        <charset val="134"/>
        <scheme val="minor"/>
      </rPr>
      <t>按主人攻击力比例(0-100)</t>
    </r>
  </si>
  <si>
    <r>
      <rPr>
        <b/>
        <sz val="10"/>
        <color rgb="FF006100"/>
        <rFont val="Consolas"/>
        <charset val="134"/>
      </rPr>
      <t>PuppetPassive</t>
    </r>
  </si>
  <si>
    <r>
      <rPr>
        <b/>
        <sz val="12"/>
        <color rgb="FFFFFFFF"/>
        <rFont val="微软雅黑"/>
        <charset val="134"/>
      </rPr>
      <t>◆ 莫娜（水） · 水域领域  DomainPassive</t>
    </r>
  </si>
  <si>
    <r>
      <rPr>
        <sz val="9"/>
        <color rgb="FFFFFFFF"/>
        <rFont val="微软雅黑"/>
        <charset val="134"/>
      </rPr>
      <t>普攻命中后在目标位置留下半径 radius 格领域，每回合对领域内敌方造成物理伤害（带水元素）；再普攻移动领域</t>
    </r>
  </si>
  <si>
    <r>
      <rPr>
        <b/>
        <sz val="10"/>
        <color rgb="FF1F3864"/>
        <rFont val="Consolas"/>
        <charset val="134"/>
      </rPr>
      <t>radius</t>
    </r>
  </si>
  <si>
    <r>
      <rPr>
        <sz val="11"/>
        <color theme="1"/>
        <rFont val="宋体"/>
        <charset val="134"/>
        <scheme val="minor"/>
      </rPr>
      <t>领域作用半径(格)</t>
    </r>
  </si>
  <si>
    <r>
      <rPr>
        <sz val="11"/>
        <color theme="1"/>
        <rFont val="宋体"/>
        <charset val="134"/>
        <scheme val="minor"/>
      </rPr>
      <t>每回合基础伤害数值</t>
    </r>
  </si>
  <si>
    <r>
      <rPr>
        <sz val="11"/>
        <color theme="1"/>
        <rFont val="宋体"/>
        <charset val="134"/>
        <scheme val="minor"/>
      </rPr>
      <t>按攻击力比例(0-100)</t>
    </r>
  </si>
  <si>
    <r>
      <rPr>
        <b/>
        <sz val="10"/>
        <color rgb="FF006100"/>
        <rFont val="Consolas"/>
        <charset val="134"/>
      </rPr>
      <t>DomainPassive</t>
    </r>
  </si>
  <si>
    <r>
      <rPr>
        <b/>
        <sz val="12"/>
        <color rgb="FFFFFFFF"/>
        <rFont val="微软雅黑"/>
        <charset val="134"/>
      </rPr>
      <t>◆ 爱可菲（冰） · 冰锋蚀甲  FrostBreakPassive</t>
    </r>
  </si>
  <si>
    <r>
      <rPr>
        <sz val="9"/>
        <color rgb="FFFFFFFF"/>
        <rFont val="微软雅黑"/>
        <charset val="134"/>
      </rPr>
      <t>受到爱可菲攻击的敌方防御值降低 amount（不可叠加=刷新），持续 duration 回合</t>
    </r>
  </si>
  <si>
    <r>
      <rPr>
        <b/>
        <sz val="10"/>
        <color rgb="FF1F3864"/>
        <rFont val="Consolas"/>
        <charset val="134"/>
      </rPr>
      <t>amount</t>
    </r>
  </si>
  <si>
    <r>
      <rPr>
        <sz val="11"/>
        <color theme="1"/>
        <rFont val="宋体"/>
        <charset val="134"/>
        <scheme val="minor"/>
      </rPr>
      <t>防御降低固定值(不可叠加)</t>
    </r>
  </si>
  <si>
    <r>
      <rPr>
        <sz val="11"/>
        <color theme="1"/>
        <rFont val="宋体"/>
        <charset val="134"/>
        <scheme val="minor"/>
      </rPr>
      <t>减防持续回合数</t>
    </r>
  </si>
  <si>
    <r>
      <rPr>
        <b/>
        <sz val="10"/>
        <color rgb="FF006100"/>
        <rFont val="Consolas"/>
        <charset val="134"/>
      </rPr>
      <t>FrostBreakPassive</t>
    </r>
  </si>
  <si>
    <r>
      <rPr>
        <b/>
        <sz val="12"/>
        <color rgb="FFFFFFFF"/>
        <rFont val="微软雅黑"/>
        <charset val="134"/>
      </rPr>
      <t>◆ 爱可菲（冰） · 凛冬风暴  BlizzardPassive</t>
    </r>
  </si>
  <si>
    <r>
      <rPr>
        <sz val="9"/>
        <color rgb="FFFFFFFF"/>
        <rFont val="微软雅黑"/>
        <charset val="134"/>
      </rPr>
      <t>由大招激活的持续段：每回合对周围 radius 格内「最近+最远」各1个敌方造成魔法伤害（带冰元素）</t>
    </r>
  </si>
  <si>
    <r>
      <rPr>
        <sz val="11"/>
        <color theme="1"/>
        <rFont val="宋体"/>
        <charset val="134"/>
        <scheme val="minor"/>
      </rPr>
      <t>以爱可菲当前位置为圆心(格)</t>
    </r>
  </si>
  <si>
    <r>
      <rPr>
        <sz val="11"/>
        <color theme="1"/>
        <rFont val="宋体"/>
        <charset val="134"/>
        <scheme val="minor"/>
      </rPr>
      <t>每回合魔法基础伤害</t>
    </r>
  </si>
  <si>
    <r>
      <rPr>
        <b/>
        <sz val="10"/>
        <color rgb="FF006100"/>
        <rFont val="Consolas"/>
        <charset val="134"/>
      </rPr>
      <t>BlizzardPassive</t>
    </r>
  </si>
  <si>
    <r>
      <rPr>
        <b/>
        <sz val="12"/>
        <color rgb="FFFFFFFF"/>
        <rFont val="微软雅黑"/>
        <charset val="134"/>
      </rPr>
      <t>◆ 雷电将军（雷） · 雷罚恶曜之眼  StormEyePassive</t>
    </r>
  </si>
  <si>
    <r>
      <rPr>
        <sz val="9"/>
        <color rgb="FFFFFFFF"/>
        <rFont val="微软雅黑"/>
        <charset val="134"/>
      </rPr>
      <t>全局回能：己方其他棋子释放大招时，雷电将军回复 energyGain 点能量（不含自己）</t>
    </r>
  </si>
  <si>
    <r>
      <rPr>
        <b/>
        <sz val="10"/>
        <color rgb="FF1F3864"/>
        <rFont val="Consolas"/>
        <charset val="134"/>
      </rPr>
      <t>energyGain</t>
    </r>
  </si>
  <si>
    <r>
      <rPr>
        <sz val="11"/>
        <color theme="1"/>
        <rFont val="宋体"/>
        <charset val="134"/>
        <scheme val="minor"/>
      </rPr>
      <t>队友开大时回能量值</t>
    </r>
  </si>
  <si>
    <r>
      <rPr>
        <b/>
        <sz val="10"/>
        <color rgb="FF006100"/>
        <rFont val="Consolas"/>
        <charset val="134"/>
      </rPr>
      <t>StormEyePassive</t>
    </r>
  </si>
  <si>
    <r>
      <rPr>
        <b/>
        <sz val="12"/>
        <color rgb="FFFFFFFF"/>
        <rFont val="微软雅黑"/>
        <charset val="134"/>
      </rPr>
      <t>◆ 雷电将军（雷） · 协同状态  CoordinatedStrikePassive</t>
    </r>
  </si>
  <si>
    <r>
      <rPr>
        <sz val="9"/>
        <color rgb="FFFFFFFF"/>
        <rFont val="微软雅黑"/>
        <charset val="134"/>
      </rPr>
      <t>由大招激活：雷电将军普攻全体己方回能；己方攻击命中触发远程协同攻击（含自己、防递归）</t>
    </r>
  </si>
  <si>
    <r>
      <rPr>
        <sz val="11"/>
        <color theme="1"/>
        <rFont val="宋体"/>
        <charset val="134"/>
        <scheme val="minor"/>
      </rPr>
      <t>协同攻击基础伤害数值</t>
    </r>
  </si>
  <si>
    <r>
      <rPr>
        <sz val="11"/>
        <color theme="1"/>
        <rFont val="宋体"/>
        <charset val="134"/>
        <scheme val="minor"/>
      </rPr>
      <t>按雷电将军攻击力比例(0-100)</t>
    </r>
  </si>
  <si>
    <r>
      <rPr>
        <b/>
        <sz val="10"/>
        <color rgb="FF1F3864"/>
        <rFont val="Consolas"/>
        <charset val="134"/>
      </rPr>
      <t>energyPerAttack</t>
    </r>
  </si>
  <si>
    <r>
      <rPr>
        <sz val="11"/>
        <color theme="1"/>
        <rFont val="宋体"/>
        <charset val="134"/>
        <scheme val="minor"/>
      </rPr>
      <t>雷电将军普攻时全体己方回能量</t>
    </r>
  </si>
  <si>
    <r>
      <rPr>
        <b/>
        <sz val="10"/>
        <color rgb="FF006100"/>
        <rFont val="Consolas"/>
        <charset val="134"/>
      </rPr>
      <t>CoordinatedStrikePassive</t>
    </r>
  </si>
  <si>
    <r>
      <rPr>
        <b/>
        <sz val="16"/>
        <color rgb="FF1F3864"/>
        <rFont val="微软雅黑"/>
        <charset val="134"/>
      </rPr>
      <t>棋子大招配置生成器</t>
    </r>
  </si>
  <si>
    <r>
      <rPr>
        <sz val="10"/>
        <color rgb="FF595959"/>
        <rFont val="微软雅黑"/>
        <charset val="134"/>
      </rPr>
      <t>九棋子的大招配置</t>
    </r>
  </si>
  <si>
    <r>
      <rPr>
        <b/>
        <sz val="12"/>
        <color rgb="FFFFFFFF"/>
        <rFont val="微软雅黑"/>
        <charset val="134"/>
      </rPr>
      <t>◆ 杜林（火） · 贯日炎枪  FlameLanceUltimate</t>
    </r>
  </si>
  <si>
    <r>
      <rPr>
        <sz val="9"/>
        <color rgb="FFFFFFFF"/>
        <rFont val="微软雅黑"/>
        <charset val="134"/>
      </rPr>
      <t>指定格模式(Tile)，点格子定方向，沿最近 hex 方向直线穿透 length 格内敌方（含火元素反应）</t>
    </r>
  </si>
  <si>
    <r>
      <rPr>
        <b/>
        <sz val="10"/>
        <color rgb="FF1F3864"/>
        <rFont val="Consolas"/>
        <charset val="134"/>
      </rPr>
      <t>length</t>
    </r>
  </si>
  <si>
    <r>
      <rPr>
        <sz val="11"/>
        <color theme="1"/>
        <rFont val="宋体"/>
        <charset val="134"/>
        <scheme val="minor"/>
      </rPr>
      <t>直线穿透格数(需与 tileTargetRange 一致)</t>
    </r>
  </si>
  <si>
    <r>
      <rPr>
        <b/>
        <sz val="10"/>
        <color rgb="FF1F3864"/>
        <rFont val="Consolas"/>
        <charset val="134"/>
      </rPr>
      <t>bonusDamage</t>
    </r>
  </si>
  <si>
    <r>
      <rPr>
        <sz val="11"/>
        <color theme="1"/>
        <rFont val="宋体"/>
        <charset val="134"/>
        <scheme val="minor"/>
      </rPr>
      <t>附加在 EffectiveAttack 上的额外攻击力</t>
    </r>
  </si>
  <si>
    <r>
      <rPr>
        <b/>
        <sz val="10"/>
        <color rgb="FF006100"/>
        <rFont val="Consolas"/>
        <charset val="134"/>
      </rPr>
      <t>FlameLanceUltimate</t>
    </r>
  </si>
  <si>
    <r>
      <rPr>
        <b/>
        <sz val="12"/>
        <color rgb="FFFFFFFF"/>
        <rFont val="微软雅黑"/>
        <charset val="134"/>
      </rPr>
      <t>◆ 菲林斯（雷） · 雷殛横光  ThunderSweepUltimate</t>
    </r>
  </si>
  <si>
    <r>
      <rPr>
        <sz val="9"/>
        <color rgb="FFFFFFFF"/>
        <rFont val="微软雅黑"/>
        <charset val="134"/>
      </rPr>
      <t>指定格模式(Tile)：普通态横向3格物理；强化态周围1格魔法（强化态消耗 empoweredEnergyCost 能量、普通态全清）</t>
    </r>
  </si>
  <si>
    <r>
      <rPr>
        <b/>
        <sz val="10"/>
        <color rgb="FF1F3864"/>
        <rFont val="Consolas"/>
        <charset val="134"/>
      </rPr>
      <t>normalBonusDamage</t>
    </r>
  </si>
  <si>
    <r>
      <rPr>
        <sz val="11"/>
        <color theme="1"/>
        <rFont val="宋体"/>
        <charset val="134"/>
        <scheme val="minor"/>
      </rPr>
      <t>普通态附加在 EffectiveAttack 上的攻击力</t>
    </r>
  </si>
  <si>
    <r>
      <rPr>
        <b/>
        <sz val="10"/>
        <color rgb="FF1F3864"/>
        <rFont val="Consolas"/>
        <charset val="134"/>
      </rPr>
      <t>empoweredBaseDamage</t>
    </r>
  </si>
  <si>
    <r>
      <rPr>
        <sz val="11"/>
        <color theme="1"/>
        <rFont val="宋体"/>
        <charset val="134"/>
        <scheme val="minor"/>
      </rPr>
      <t>强化态魔法基础伤害值</t>
    </r>
  </si>
  <si>
    <r>
      <rPr>
        <b/>
        <sz val="10"/>
        <color rgb="FF1F3864"/>
        <rFont val="Consolas"/>
        <charset val="134"/>
      </rPr>
      <t>empoweredAttackPercent</t>
    </r>
  </si>
  <si>
    <r>
      <rPr>
        <sz val="11"/>
        <color theme="1"/>
        <rFont val="宋体"/>
        <charset val="134"/>
        <scheme val="minor"/>
      </rPr>
      <t>强化态按攻击力比例(0-100)</t>
    </r>
  </si>
  <si>
    <r>
      <rPr>
        <b/>
        <sz val="10"/>
        <color rgb="FF1F3864"/>
        <rFont val="Consolas"/>
        <charset val="134"/>
      </rPr>
      <t>empoweredEnergyCost</t>
    </r>
  </si>
  <si>
    <r>
      <rPr>
        <sz val="11"/>
        <color theme="1"/>
        <rFont val="宋体"/>
        <charset val="134"/>
        <scheme val="minor"/>
      </rPr>
      <t>强化态消耗的能量量(保留剩余)</t>
    </r>
  </si>
  <si>
    <r>
      <rPr>
        <b/>
        <sz val="10"/>
        <color rgb="FF1F3864"/>
        <rFont val="Consolas"/>
        <charset val="134"/>
      </rPr>
      <t>empoweredElemental</t>
    </r>
  </si>
  <si>
    <r>
      <rPr>
        <sz val="11"/>
        <color theme="1"/>
        <rFont val="宋体"/>
        <charset val="134"/>
        <scheme val="minor"/>
      </rPr>
      <t>强化态魔法段是否附着雷元素</t>
    </r>
  </si>
  <si>
    <r>
      <rPr>
        <b/>
        <sz val="10"/>
        <color rgb="FF006100"/>
        <rFont val="Consolas"/>
        <charset val="134"/>
      </rPr>
      <t>ThunderSweepUltimate</t>
    </r>
  </si>
  <si>
    <r>
      <rPr>
        <b/>
        <sz val="12"/>
        <color rgb="FFFFFFFF"/>
        <rFont val="微软雅黑"/>
        <charset val="134"/>
      </rPr>
      <t>◆ 克洛琳德（雷） · 雷驰突进  ThunderDashUltimate</t>
    </r>
  </si>
  <si>
    <r>
      <rPr>
        <sz val="9"/>
        <color rgb="FFFFFFFF"/>
        <rFont val="微软雅黑"/>
        <charset val="134"/>
      </rPr>
      <t>指定格模式(Tile+Ray)，向指定方向直线冲刺并回复 healAmount 生命（复用移动管道，触发路径伤害）</t>
    </r>
  </si>
  <si>
    <r>
      <rPr>
        <b/>
        <sz val="10"/>
        <color rgb="FF1F3864"/>
        <rFont val="Consolas"/>
        <charset val="134"/>
      </rPr>
      <t>healAmount</t>
    </r>
  </si>
  <si>
    <r>
      <rPr>
        <sz val="11"/>
        <color theme="1"/>
        <rFont val="宋体"/>
        <charset val="134"/>
        <scheme val="minor"/>
      </rPr>
      <t>冲刺后回复的生命值</t>
    </r>
  </si>
  <si>
    <r>
      <rPr>
        <b/>
        <sz val="10"/>
        <color rgb="FF006100"/>
        <rFont val="Consolas"/>
        <charset val="134"/>
      </rPr>
      <t>ThunderDashUltimate</t>
    </r>
  </si>
  <si>
    <r>
      <rPr>
        <b/>
        <sz val="12"/>
        <color rgb="FFFFFFFF"/>
        <rFont val="微软雅黑"/>
        <charset val="134"/>
      </rPr>
      <t>◆ 哥伦比亚（水） · 潮涌战意  TideSurgeUltimate</t>
    </r>
  </si>
  <si>
    <r>
      <rPr>
        <sz val="9"/>
        <color rgb="FFFFFFFF"/>
        <rFont val="微软雅黑"/>
        <charset val="134"/>
      </rPr>
      <t>自身增益(Self)，周围 radius 格内己方攻击力 +bonusAttack 持续 duration 回合</t>
    </r>
  </si>
  <si>
    <r>
      <rPr>
        <sz val="11"/>
        <color theme="1"/>
        <rFont val="宋体"/>
        <charset val="134"/>
        <scheme val="minor"/>
      </rPr>
      <t>以自身为圆心的增益半径(格)</t>
    </r>
  </si>
  <si>
    <r>
      <rPr>
        <b/>
        <sz val="10"/>
        <color rgb="FF1F3864"/>
        <rFont val="Consolas"/>
        <charset val="134"/>
      </rPr>
      <t>bonusAttack</t>
    </r>
  </si>
  <si>
    <r>
      <rPr>
        <sz val="11"/>
        <color theme="1"/>
        <rFont val="宋体"/>
        <charset val="134"/>
        <scheme val="minor"/>
      </rPr>
      <t>攻击力加成值</t>
    </r>
  </si>
  <si>
    <r>
      <rPr>
        <sz val="11"/>
        <color theme="1"/>
        <rFont val="宋体"/>
        <charset val="134"/>
        <scheme val="minor"/>
      </rPr>
      <t>buff 持续回合数</t>
    </r>
  </si>
  <si>
    <r>
      <rPr>
        <b/>
        <sz val="10"/>
        <color rgb="FF006100"/>
        <rFont val="Consolas"/>
        <charset val="134"/>
      </rPr>
      <t>TideSurgeUltimate</t>
    </r>
  </si>
  <si>
    <r>
      <rPr>
        <b/>
        <sz val="12"/>
        <color rgb="FFFFFFFF"/>
        <rFont val="微软雅黑"/>
        <charset val="134"/>
      </rPr>
      <t>◆ 甘雨（冰） · 霜华贯矢  FrostArrowUltimate</t>
    </r>
  </si>
  <si>
    <r>
      <rPr>
        <sz val="9"/>
        <color rgb="FFFFFFFF"/>
        <rFont val="微软雅黑"/>
        <charset val="134"/>
      </rPr>
      <t>指定格模式(Tile)，按蓄力层数三档：1层单点物理 / 2层周围1格物理 / 3层周围2格魔法（不耗能量，消耗蓄力层数）</t>
    </r>
  </si>
  <si>
    <r>
      <rPr>
        <b/>
        <sz val="10"/>
        <color rgb="FF1F3864"/>
        <rFont val="Consolas"/>
        <charset val="134"/>
      </rPr>
      <t>physicalBonusDamage</t>
    </r>
  </si>
  <si>
    <r>
      <rPr>
        <sz val="11"/>
        <color theme="1"/>
        <rFont val="宋体"/>
        <charset val="134"/>
        <scheme val="minor"/>
      </rPr>
      <t>1/2层物理段附加攻击力</t>
    </r>
  </si>
  <si>
    <r>
      <rPr>
        <b/>
        <sz val="10"/>
        <color rgb="FF1F3864"/>
        <rFont val="Consolas"/>
        <charset val="134"/>
      </rPr>
      <t>magicBaseDamage</t>
    </r>
  </si>
  <si>
    <r>
      <rPr>
        <sz val="11"/>
        <color theme="1"/>
        <rFont val="宋体"/>
        <charset val="134"/>
        <scheme val="minor"/>
      </rPr>
      <t>3层魔法基础伤害值</t>
    </r>
  </si>
  <si>
    <r>
      <rPr>
        <b/>
        <sz val="10"/>
        <color rgb="FF1F3864"/>
        <rFont val="Consolas"/>
        <charset val="134"/>
      </rPr>
      <t>magicAttackPercent</t>
    </r>
  </si>
  <si>
    <r>
      <rPr>
        <sz val="11"/>
        <color theme="1"/>
        <rFont val="宋体"/>
        <charset val="134"/>
        <scheme val="minor"/>
      </rPr>
      <t>3层魔法按攻击力比例(0-100)</t>
    </r>
  </si>
  <si>
    <r>
      <rPr>
        <b/>
        <sz val="10"/>
        <color rgb="FF006100"/>
        <rFont val="Consolas"/>
        <charset val="134"/>
      </rPr>
      <t>FrostArrowUltimate</t>
    </r>
  </si>
  <si>
    <r>
      <rPr>
        <b/>
        <sz val="12"/>
        <color rgb="FFFFFFFF"/>
        <rFont val="微软雅黑"/>
        <charset val="134"/>
      </rPr>
      <t>◆ 安柏（火） · 兔兔伯爵  BaronBunnyUltimate</t>
    </r>
  </si>
  <si>
    <r>
      <rPr>
        <sz val="9"/>
        <color rgb="FFFFFFFF"/>
        <rFont val="微软雅黑"/>
        <charset val="134"/>
      </rPr>
      <t>指定格模式(Tile)，在空格投放傀儡（puppetPieceId 指向傀儡资产；嘲讽/引爆由傀儡 PuppetPassive 驱动）</t>
    </r>
  </si>
  <si>
    <r>
      <rPr>
        <b/>
        <sz val="10"/>
        <color rgb="FF1F3864"/>
        <rFont val="Consolas"/>
        <charset val="134"/>
      </rPr>
      <t>puppetPieceId</t>
    </r>
  </si>
  <si>
    <r>
      <rPr>
        <sz val="11"/>
        <color theme="1"/>
        <rFont val="宋体"/>
        <charset val="134"/>
        <scheme val="minor"/>
      </rPr>
      <t>傀儡在 PieceRegistry 中的 id</t>
    </r>
  </si>
  <si>
    <r>
      <rPr>
        <b/>
        <sz val="10"/>
        <color rgb="FF006100"/>
        <rFont val="Consolas"/>
        <charset val="134"/>
      </rPr>
      <t>BaronBunnyUltimate</t>
    </r>
  </si>
  <si>
    <r>
      <rPr>
        <b/>
        <sz val="12"/>
        <color rgb="FFFFFFFF"/>
        <rFont val="微软雅黑"/>
        <charset val="134"/>
      </rPr>
      <t>◆ 莫娜（水） · 星异  OmenUltimate</t>
    </r>
  </si>
  <si>
    <r>
      <rPr>
        <sz val="9"/>
        <color rgb="FFFFFFFF"/>
        <rFont val="微软雅黑"/>
        <charset val="134"/>
      </rPr>
      <t>指定格模式(Tile)，目标格周围 radius 格内敌方施加易伤（受伤 +percent%），持续 duration 回合</t>
    </r>
  </si>
  <si>
    <r>
      <rPr>
        <sz val="11"/>
        <color theme="1"/>
        <rFont val="宋体"/>
        <charset val="134"/>
        <scheme val="minor"/>
      </rPr>
      <t>以目标格为中心的半径(格)</t>
    </r>
  </si>
  <si>
    <r>
      <rPr>
        <sz val="11"/>
        <color theme="1"/>
        <rFont val="宋体"/>
        <charset val="134"/>
        <scheme val="minor"/>
      </rPr>
      <t>易伤持续回合数</t>
    </r>
  </si>
  <si>
    <r>
      <rPr>
        <sz val="11"/>
        <color theme="1"/>
        <rFont val="宋体"/>
        <charset val="134"/>
        <scheme val="minor"/>
      </rPr>
      <t>受到的伤害提高百分比</t>
    </r>
  </si>
  <si>
    <r>
      <rPr>
        <b/>
        <sz val="10"/>
        <color rgb="FF006100"/>
        <rFont val="Consolas"/>
        <charset val="134"/>
      </rPr>
      <t>OmenUltimate</t>
    </r>
  </si>
  <si>
    <r>
      <rPr>
        <b/>
        <sz val="12"/>
        <color rgb="FFFFFFFF"/>
        <rFont val="微软雅黑"/>
        <charset val="134"/>
      </rPr>
      <t>◆ 爱可菲（冰） · 极寒飨宴  FrostFeastUltimate</t>
    </r>
  </si>
  <si>
    <r>
      <rPr>
        <sz val="9"/>
        <color rgb="FFFFFFFF"/>
        <rFont val="微软雅黑"/>
        <charset val="134"/>
      </rPr>
      <t>自身增益(Self)三段：周围1格敌方物理 + 友方治疗(自身翻倍) + 激活风暴 stormTurns 回合</t>
    </r>
  </si>
  <si>
    <r>
      <rPr>
        <sz val="11"/>
        <color theme="1"/>
        <rFont val="宋体"/>
        <charset val="134"/>
        <scheme val="minor"/>
      </rPr>
      <t>以自身为中心的即时段半径(格)</t>
    </r>
  </si>
  <si>
    <r>
      <rPr>
        <sz val="11"/>
        <color theme="1"/>
        <rFont val="宋体"/>
        <charset val="134"/>
        <scheme val="minor"/>
      </rPr>
      <t>即时段物理攻击力比例(0-100)</t>
    </r>
  </si>
  <si>
    <r>
      <rPr>
        <sz val="11"/>
        <color theme="1"/>
        <rFont val="宋体"/>
        <charset val="134"/>
        <scheme val="minor"/>
      </rPr>
      <t>友方回血量(自身翻倍)</t>
    </r>
  </si>
  <si>
    <r>
      <rPr>
        <b/>
        <sz val="10"/>
        <color rgb="FF1F3864"/>
        <rFont val="Consolas"/>
        <charset val="134"/>
      </rPr>
      <t>stormTurns</t>
    </r>
  </si>
  <si>
    <r>
      <rPr>
        <sz val="11"/>
        <color theme="1"/>
        <rFont val="宋体"/>
        <charset val="134"/>
        <scheme val="minor"/>
      </rPr>
      <t>凛冬风暴持续回合数</t>
    </r>
  </si>
  <si>
    <r>
      <rPr>
        <b/>
        <sz val="10"/>
        <color rgb="FF006100"/>
        <rFont val="Consolas"/>
        <charset val="134"/>
      </rPr>
      <t>FrostFeastUltimate</t>
    </r>
  </si>
  <si>
    <r>
      <rPr>
        <b/>
        <sz val="12"/>
        <color rgb="FFFFFFFF"/>
        <rFont val="微软雅黑"/>
        <charset val="134"/>
      </rPr>
      <t>◆ 雷电将军（雷） · 无想一刀  MusouStrikeUltimate</t>
    </r>
  </si>
  <si>
    <r>
      <rPr>
        <sz val="9"/>
        <color rgb="FFFFFFFF"/>
        <rFont val="微软雅黑"/>
        <charset val="134"/>
      </rPr>
      <t>指定格模式(Tile)，横向3格物理伤害 + 激活协同状态 synergyTurns 回合（普攻回能 + 协同攻击）</t>
    </r>
  </si>
  <si>
    <r>
      <rPr>
        <sz val="11"/>
        <color theme="1"/>
        <rFont val="宋体"/>
        <charset val="134"/>
        <scheme val="minor"/>
      </rPr>
      <t>横向段物理攻击力比例(0-100)</t>
    </r>
  </si>
  <si>
    <r>
      <rPr>
        <b/>
        <sz val="10"/>
        <color rgb="FF1F3864"/>
        <rFont val="Consolas"/>
        <charset val="134"/>
      </rPr>
      <t>synergyTurns</t>
    </r>
  </si>
  <si>
    <r>
      <rPr>
        <sz val="11"/>
        <color theme="1"/>
        <rFont val="宋体"/>
        <charset val="134"/>
        <scheme val="minor"/>
      </rPr>
      <t>协同状态持续回合数</t>
    </r>
  </si>
  <si>
    <r>
      <rPr>
        <b/>
        <sz val="10"/>
        <color rgb="FF006100"/>
        <rFont val="Consolas"/>
        <charset val="134"/>
      </rPr>
      <t>MusouStrikeUltimate</t>
    </r>
  </si>
  <si>
    <r>
      <rPr>
        <b/>
        <sz val="16"/>
        <color rgb="FF1F3864"/>
        <rFont val="微软雅黑"/>
        <charset val="134"/>
      </rPr>
      <t>移动配置生成器</t>
    </r>
  </si>
  <si>
    <r>
      <rPr>
        <sz val="10"/>
        <color rgb="FF595959"/>
        <rFont val="微软雅黑"/>
        <charset val="134"/>
      </rPr>
      <t>移动范围内联配置（直接写入 PieceData.moveConfig）</t>
    </r>
  </si>
  <si>
    <r>
      <rPr>
        <b/>
        <sz val="10"/>
        <color rgb="FFFFFFFF"/>
        <rFont val="微软雅黑"/>
        <charset val="134"/>
      </rPr>
      <t>棋子</t>
    </r>
  </si>
  <si>
    <r>
      <rPr>
        <b/>
        <sz val="10"/>
        <color rgb="FFFFFFFF"/>
        <rFont val="微软雅黑"/>
        <charset val="134"/>
      </rPr>
      <t>providerClassName</t>
    </r>
  </si>
  <si>
    <r>
      <rPr>
        <b/>
        <sz val="10"/>
        <color rgb="FFFFFFFF"/>
        <rFont val="微软雅黑"/>
        <charset val="134"/>
      </rPr>
      <t>providerJsonParams</t>
    </r>
  </si>
  <si>
    <r>
      <rPr>
        <b/>
        <sz val="10"/>
        <color rgb="FFFFFFFF"/>
        <rFont val="微软雅黑"/>
        <charset val="134"/>
      </rPr>
      <t>baseRange</t>
    </r>
  </si>
  <si>
    <r>
      <rPr>
        <sz val="10"/>
        <color rgb="FF222222"/>
        <rFont val="微软雅黑"/>
        <charset val="134"/>
      </rPr>
      <t>杜林（火）</t>
    </r>
  </si>
  <si>
    <r>
      <rPr>
        <sz val="10"/>
        <color rgb="FF222222"/>
        <rFont val="微软雅黑"/>
        <charset val="134"/>
      </rPr>
      <t>FreeMoveProvider</t>
    </r>
  </si>
  <si>
    <r>
      <rPr>
        <sz val="10"/>
        <color rgb="FF222222"/>
        <rFont val="微软雅黑"/>
        <charset val="134"/>
      </rPr>
      <t>（空）</t>
    </r>
  </si>
  <si>
    <r>
      <rPr>
        <sz val="10"/>
        <color rgb="FF222222"/>
        <rFont val="微软雅黑"/>
        <charset val="134"/>
      </rPr>
      <t>通用移动</t>
    </r>
  </si>
  <si>
    <r>
      <rPr>
        <sz val="10"/>
        <color rgb="FF222222"/>
        <rFont val="微软雅黑"/>
        <charset val="134"/>
      </rPr>
      <t>菲林斯（雷）</t>
    </r>
  </si>
  <si>
    <r>
      <rPr>
        <sz val="10"/>
        <color rgb="FF222222"/>
        <rFont val="微软雅黑"/>
        <charset val="134"/>
      </rPr>
      <t>克洛琳德（雷）</t>
    </r>
  </si>
  <si>
    <r>
      <rPr>
        <sz val="10"/>
        <color rgb="FF222222"/>
        <rFont val="微软雅黑"/>
        <charset val="134"/>
      </rPr>
      <t>StraightPassProvider</t>
    </r>
  </si>
  <si>
    <r>
      <rPr>
        <sz val="10"/>
        <color rgb="FF222222"/>
        <rFont val="微软雅黑"/>
        <charset val="134"/>
      </rPr>
      <t>直线穿越（穿棋子）</t>
    </r>
  </si>
  <si>
    <r>
      <rPr>
        <sz val="10"/>
        <color rgb="FF222222"/>
        <rFont val="微软雅黑"/>
        <charset val="134"/>
      </rPr>
      <t>哥伦比亚（水）</t>
    </r>
  </si>
  <si>
    <r>
      <rPr>
        <sz val="10"/>
        <color rgb="FF222222"/>
        <rFont val="微软雅黑"/>
        <charset val="134"/>
      </rPr>
      <t>ParityMoveProvider</t>
    </r>
  </si>
  <si>
    <r>
      <rPr>
        <sz val="10"/>
        <color rgb="FF222222"/>
        <rFont val="微软雅黑"/>
        <charset val="134"/>
      </rPr>
      <t>跳格移动（偶数距离）</t>
    </r>
  </si>
  <si>
    <r>
      <rPr>
        <sz val="10"/>
        <color rgb="FF222222"/>
        <rFont val="微软雅黑"/>
        <charset val="134"/>
      </rPr>
      <t>甘雨（冰）</t>
    </r>
  </si>
  <si>
    <r>
      <rPr>
        <sz val="10"/>
        <color rgb="FF222222"/>
        <rFont val="微软雅黑"/>
        <charset val="134"/>
      </rPr>
      <t>安柏（火）</t>
    </r>
  </si>
  <si>
    <r>
      <rPr>
        <sz val="10"/>
        <color rgb="FF222222"/>
        <rFont val="微软雅黑"/>
        <charset val="134"/>
      </rPr>
      <t>兔兔伯爵（傀儡）</t>
    </r>
  </si>
  <si>
    <r>
      <rPr>
        <sz val="10"/>
        <color rgb="FF222222"/>
        <rFont val="微软雅黑"/>
        <charset val="134"/>
      </rPr>
      <t>不可移动（召唤物）</t>
    </r>
  </si>
  <si>
    <r>
      <rPr>
        <sz val="10"/>
        <color rgb="FF222222"/>
        <rFont val="微软雅黑"/>
        <charset val="134"/>
      </rPr>
      <t>莫娜（水）</t>
    </r>
  </si>
  <si>
    <r>
      <rPr>
        <sz val="10"/>
        <color rgb="FF222222"/>
        <rFont val="微软雅黑"/>
        <charset val="134"/>
      </rPr>
      <t>FlyMoveProvider</t>
    </r>
  </si>
  <si>
    <r>
      <rPr>
        <sz val="10"/>
        <color rgb="FF222222"/>
        <rFont val="微软雅黑"/>
        <charset val="134"/>
      </rPr>
      <t>飞行移动（不被阻拦）</t>
    </r>
  </si>
  <si>
    <r>
      <rPr>
        <sz val="10"/>
        <color rgb="FF222222"/>
        <rFont val="微软雅黑"/>
        <charset val="134"/>
      </rPr>
      <t>爱可菲（冰）</t>
    </r>
  </si>
  <si>
    <r>
      <rPr>
        <sz val="10"/>
        <color rgb="FF222222"/>
        <rFont val="微软雅黑"/>
        <charset val="134"/>
      </rPr>
      <t>雷电将军（雷）</t>
    </r>
  </si>
  <si>
    <r>
      <rPr>
        <b/>
        <sz val="16"/>
        <color rgb="FF1F3864"/>
        <rFont val="微软雅黑"/>
        <charset val="134"/>
      </rPr>
      <t>攻击配置生成器</t>
    </r>
  </si>
  <si>
    <r>
      <rPr>
        <sz val="10"/>
        <color rgb="FF595959"/>
        <rFont val="微软雅黑"/>
        <charset val="134"/>
      </rPr>
      <t>攻击范围内联配置（直接写入 PieceData.attackConfig）</t>
    </r>
  </si>
  <si>
    <r>
      <rPr>
        <sz val="10"/>
        <color rgb="FF222222"/>
        <rFont val="微软雅黑"/>
        <charset val="134"/>
      </rPr>
      <t>LineAttackProvider</t>
    </r>
  </si>
  <si>
    <r>
      <rPr>
        <sz val="10"/>
        <color rgb="FF222222"/>
        <rFont val="微软雅黑"/>
        <charset val="134"/>
      </rPr>
      <t>直线穿透普攻</t>
    </r>
  </si>
  <si>
    <r>
      <rPr>
        <sz val="10"/>
        <color rgb="FF222222"/>
        <rFont val="微软雅黑"/>
        <charset val="134"/>
      </rPr>
      <t>CircleAttackProvider</t>
    </r>
  </si>
  <si>
    <r>
      <rPr>
        <sz val="10"/>
        <color rgb="FF222222"/>
        <rFont val="微软雅黑"/>
        <charset val="134"/>
      </rPr>
      <t>通用普攻单目标</t>
    </r>
  </si>
  <si>
    <r>
      <rPr>
        <sz val="10"/>
        <color rgb="FF222222"/>
        <rFont val="微软雅黑"/>
        <charset val="134"/>
      </rPr>
      <t>AreaAttackProvider</t>
    </r>
  </si>
  <si>
    <r>
      <rPr>
        <sz val="10"/>
        <color rgb="FF222222"/>
        <rFont val="微软雅黑"/>
        <charset val="134"/>
      </rPr>
      <t>{"splashRadius":1,"filterByAttackRange":true,"splashIsElemental":false,"splashGoldPercent":0,"baseDamage":0,"attackPercent":0.5}</t>
    </r>
  </si>
  <si>
    <r>
      <rPr>
        <sz val="10"/>
        <color rgb="FF222222"/>
        <rFont val="微软雅黑"/>
        <charset val="134"/>
      </rPr>
      <t>目标格+周围1格溅射</t>
    </r>
  </si>
  <si>
    <r>
      <rPr>
        <sz val="10"/>
        <color rgb="FF222222"/>
        <rFont val="微软雅黑"/>
        <charset val="134"/>
      </rPr>
      <t>远程狙击（蓄力选目标用）</t>
    </r>
  </si>
  <si>
    <r>
      <rPr>
        <sz val="10"/>
        <color rgb="FF222222"/>
        <rFont val="微软雅黑"/>
        <charset val="134"/>
      </rPr>
      <t>远程普攻</t>
    </r>
  </si>
  <si>
    <r>
      <rPr>
        <sz val="10"/>
        <color rgb="FF222222"/>
        <rFont val="微软雅黑"/>
        <charset val="134"/>
      </rPr>
      <t>不可攻击（占位）</t>
    </r>
  </si>
  <si>
    <r>
      <rPr>
        <b/>
        <sz val="16"/>
        <color rgb="FF1F3864"/>
        <rFont val="微软雅黑"/>
        <charset val="134"/>
      </rPr>
      <t>棋子效果速查</t>
    </r>
  </si>
  <si>
    <r>
      <rPr>
        <b/>
        <sz val="10"/>
        <color rgb="FFFFFFFF"/>
        <rFont val="微软雅黑"/>
        <charset val="134"/>
      </rPr>
      <t>类名</t>
    </r>
  </si>
  <si>
    <r>
      <rPr>
        <b/>
        <sz val="10"/>
        <color rgb="FFFFFFFF"/>
        <rFont val="微软雅黑"/>
        <charset val="134"/>
      </rPr>
      <t>中文名</t>
    </r>
  </si>
  <si>
    <r>
      <rPr>
        <sz val="10"/>
        <color rgb="FF222222"/>
        <rFont val="微软雅黑"/>
        <charset val="134"/>
      </rPr>
      <t>FlameNovaPassive</t>
    </r>
  </si>
  <si>
    <r>
      <rPr>
        <sz val="10"/>
        <color rgb="FF222222"/>
        <rFont val="微软雅黑"/>
        <charset val="134"/>
      </rPr>
      <t>炎星溅射</t>
    </r>
  </si>
  <si>
    <r>
      <rPr>
        <sz val="10"/>
        <color rgb="FF222222"/>
        <rFont val="微软雅黑"/>
        <charset val="134"/>
      </rPr>
      <t>被动</t>
    </r>
  </si>
  <si>
    <r>
      <rPr>
        <sz val="10"/>
        <color rgb="FF222222"/>
        <rFont val="微软雅黑"/>
        <charset val="134"/>
      </rPr>
      <t>baseDamage, attackPercent, splashRadius, goldPercent, elemental</t>
    </r>
  </si>
  <si>
    <r>
      <rPr>
        <sz val="10"/>
        <color rgb="FF222222"/>
        <rFont val="微软雅黑"/>
        <charset val="134"/>
      </rPr>
      <t>杜林：普攻后自身周围2格溅射物理(火)</t>
    </r>
  </si>
  <si>
    <r>
      <rPr>
        <sz val="10"/>
        <color rgb="FF222222"/>
        <rFont val="微软雅黑"/>
        <charset val="134"/>
      </rPr>
      <t>SparkEmpowerPassive</t>
    </r>
  </si>
  <si>
    <r>
      <rPr>
        <sz val="10"/>
        <color rgb="FF222222"/>
        <rFont val="微软雅黑"/>
        <charset val="134"/>
      </rPr>
      <t>雷蚀强化</t>
    </r>
  </si>
  <si>
    <r>
      <rPr>
        <sz val="10"/>
        <color rgb="FF222222"/>
        <rFont val="微软雅黑"/>
        <charset val="134"/>
      </rPr>
      <t>duration</t>
    </r>
  </si>
  <si>
    <r>
      <rPr>
        <sz val="10"/>
        <color rgb="FF222222"/>
        <rFont val="微软雅黑"/>
        <charset val="134"/>
      </rPr>
      <t>菲林斯：普攻后强化6回合</t>
    </r>
  </si>
  <si>
    <r>
      <rPr>
        <sz val="10"/>
        <color rgb="FF222222"/>
        <rFont val="微软雅黑"/>
        <charset val="134"/>
      </rPr>
      <t>VoltPathPassive</t>
    </r>
  </si>
  <si>
    <r>
      <rPr>
        <sz val="10"/>
        <color rgb="FF222222"/>
        <rFont val="微软雅黑"/>
        <charset val="134"/>
      </rPr>
      <t>雷径惩戒</t>
    </r>
  </si>
  <si>
    <r>
      <rPr>
        <sz val="10"/>
        <color rgb="FF222222"/>
        <rFont val="微软雅黑"/>
        <charset val="134"/>
      </rPr>
      <t>baseDamage, attackPercent, elemental</t>
    </r>
  </si>
  <si>
    <r>
      <rPr>
        <sz val="10"/>
        <color rgb="FF222222"/>
        <rFont val="微软雅黑"/>
        <charset val="134"/>
      </rPr>
      <t>克洛琳德：移动路径飞越敌人物理伤害(雷)</t>
    </r>
  </si>
  <si>
    <r>
      <rPr>
        <sz val="10"/>
        <color rgb="FF222222"/>
        <rFont val="微软雅黑"/>
        <charset val="134"/>
      </rPr>
      <t>RevivePassive</t>
    </r>
  </si>
  <si>
    <r>
      <rPr>
        <sz val="10"/>
        <color rgb="FF222222"/>
        <rFont val="微软雅黑"/>
        <charset val="134"/>
      </rPr>
      <t>生命之息</t>
    </r>
  </si>
  <si>
    <r>
      <rPr>
        <sz val="10"/>
        <color rgb="FF222222"/>
        <rFont val="微软雅黑"/>
        <charset val="134"/>
      </rPr>
      <t>reviveHp</t>
    </r>
  </si>
  <si>
    <r>
      <rPr>
        <sz val="10"/>
        <color rgb="FF222222"/>
        <rFont val="微软雅黑"/>
        <charset val="134"/>
      </rPr>
      <t>哥伦比亚：己方死亡原地复活(一局一次)</t>
    </r>
  </si>
  <si>
    <r>
      <rPr>
        <sz val="10"/>
        <color rgb="FF222222"/>
        <rFont val="微软雅黑"/>
        <charset val="134"/>
      </rPr>
      <t>DoubleStrikePassive</t>
    </r>
  </si>
  <si>
    <r>
      <rPr>
        <sz val="10"/>
        <color rgb="FF222222"/>
        <rFont val="微软雅黑"/>
        <charset val="134"/>
      </rPr>
      <t>快速射击</t>
    </r>
  </si>
  <si>
    <r>
      <rPr>
        <sz val="10"/>
        <color rgb="FF222222"/>
        <rFont val="微软雅黑"/>
        <charset val="134"/>
      </rPr>
      <t>percent</t>
    </r>
  </si>
  <si>
    <r>
      <rPr>
        <sz val="10"/>
        <color rgb="FF222222"/>
        <rFont val="微软雅黑"/>
        <charset val="134"/>
      </rPr>
      <t>安柏：普攻两次物理伤害</t>
    </r>
  </si>
  <si>
    <r>
      <rPr>
        <sz val="10"/>
        <color rgb="FF222222"/>
        <rFont val="微软雅黑"/>
        <charset val="134"/>
      </rPr>
      <t>PuppetPassive</t>
    </r>
  </si>
  <si>
    <r>
      <rPr>
        <sz val="10"/>
        <color rgb="FF222222"/>
        <rFont val="微软雅黑"/>
        <charset val="134"/>
      </rPr>
      <t>傀儡核心</t>
    </r>
  </si>
  <si>
    <r>
      <rPr>
        <sz val="10"/>
        <color rgb="FF222222"/>
        <rFont val="微软雅黑"/>
        <charset val="134"/>
      </rPr>
      <t>hitsToDetonate, maxTurns, tauntRange, explosionRadius, baseDamage, attackPercent</t>
    </r>
  </si>
  <si>
    <r>
      <rPr>
        <sz val="10"/>
        <color rgb="FF222222"/>
        <rFont val="微软雅黑"/>
        <charset val="134"/>
      </rPr>
      <t>兔兔伯爵：受击/回合计数引爆+嘲讽光环</t>
    </r>
  </si>
  <si>
    <r>
      <rPr>
        <sz val="10"/>
        <color rgb="FF222222"/>
        <rFont val="微软雅黑"/>
        <charset val="134"/>
      </rPr>
      <t>DomainPassive</t>
    </r>
  </si>
  <si>
    <r>
      <rPr>
        <sz val="10"/>
        <color rgb="FF222222"/>
        <rFont val="微软雅黑"/>
        <charset val="134"/>
      </rPr>
      <t>水域领域</t>
    </r>
  </si>
  <si>
    <r>
      <rPr>
        <sz val="10"/>
        <color rgb="FF222222"/>
        <rFont val="微软雅黑"/>
        <charset val="134"/>
      </rPr>
      <t>radius, baseDamage, attackPercent</t>
    </r>
  </si>
  <si>
    <r>
      <rPr>
        <sz val="10"/>
        <color rgb="FF222222"/>
        <rFont val="微软雅黑"/>
        <charset val="134"/>
      </rPr>
      <t>莫娜：普攻落领域，每回合领域内敌方掉血(水)</t>
    </r>
  </si>
  <si>
    <r>
      <rPr>
        <sz val="10"/>
        <color rgb="FF222222"/>
        <rFont val="微软雅黑"/>
        <charset val="134"/>
      </rPr>
      <t>FrostBreakPassive</t>
    </r>
  </si>
  <si>
    <r>
      <rPr>
        <sz val="10"/>
        <color rgb="FF222222"/>
        <rFont val="微软雅黑"/>
        <charset val="134"/>
      </rPr>
      <t>冰锋蚀甲</t>
    </r>
  </si>
  <si>
    <r>
      <rPr>
        <sz val="10"/>
        <color rgb="FF222222"/>
        <rFont val="微软雅黑"/>
        <charset val="134"/>
      </rPr>
      <t>amount, duration</t>
    </r>
  </si>
  <si>
    <r>
      <rPr>
        <sz val="10"/>
        <color rgb="FF222222"/>
        <rFont val="微软雅黑"/>
        <charset val="134"/>
      </rPr>
      <t>爱可菲：攻击降防(不可叠加)</t>
    </r>
  </si>
  <si>
    <r>
      <rPr>
        <sz val="10"/>
        <color rgb="FF222222"/>
        <rFont val="微软雅黑"/>
        <charset val="134"/>
      </rPr>
      <t>BlizzardPassive</t>
    </r>
  </si>
  <si>
    <r>
      <rPr>
        <sz val="10"/>
        <color rgb="FF222222"/>
        <rFont val="微软雅黑"/>
        <charset val="134"/>
      </rPr>
      <t>凛冬风暴</t>
    </r>
  </si>
  <si>
    <r>
      <rPr>
        <sz val="10"/>
        <color rgb="FF222222"/>
        <rFont val="微软雅黑"/>
        <charset val="134"/>
      </rPr>
      <t>爱可菲：大招持续段，每回合最近/最远各1魔法(冰)</t>
    </r>
  </si>
  <si>
    <r>
      <rPr>
        <sz val="10"/>
        <color rgb="FF222222"/>
        <rFont val="微软雅黑"/>
        <charset val="134"/>
      </rPr>
      <t>StormEyePassive</t>
    </r>
  </si>
  <si>
    <r>
      <rPr>
        <sz val="10"/>
        <color rgb="FF222222"/>
        <rFont val="微软雅黑"/>
        <charset val="134"/>
      </rPr>
      <t>雷罚恶曜之眼</t>
    </r>
  </si>
  <si>
    <r>
      <rPr>
        <sz val="10"/>
        <color rgb="FF222222"/>
        <rFont val="微软雅黑"/>
        <charset val="134"/>
      </rPr>
      <t>energyGain</t>
    </r>
  </si>
  <si>
    <r>
      <rPr>
        <sz val="10"/>
        <color rgb="FF222222"/>
        <rFont val="微软雅黑"/>
        <charset val="134"/>
      </rPr>
      <t>雷电将军：队友开大回能(不含自己)</t>
    </r>
  </si>
  <si>
    <r>
      <rPr>
        <sz val="10"/>
        <color rgb="FF222222"/>
        <rFont val="微软雅黑"/>
        <charset val="134"/>
      </rPr>
      <t>CoordinatedStrikePassive</t>
    </r>
  </si>
  <si>
    <r>
      <rPr>
        <sz val="10"/>
        <color rgb="FF222222"/>
        <rFont val="微软雅黑"/>
        <charset val="134"/>
      </rPr>
      <t>协同状态</t>
    </r>
  </si>
  <si>
    <r>
      <rPr>
        <sz val="10"/>
        <color rgb="FF222222"/>
        <rFont val="微软雅黑"/>
        <charset val="134"/>
      </rPr>
      <t>baseDamage, attackPercent, energyPerAttack</t>
    </r>
  </si>
  <si>
    <r>
      <rPr>
        <sz val="10"/>
        <color rgb="FF222222"/>
        <rFont val="微软雅黑"/>
        <charset val="134"/>
      </rPr>
      <t>雷电将军：普攻回能+己方攻击触发协同</t>
    </r>
  </si>
  <si>
    <r>
      <rPr>
        <sz val="10"/>
        <color rgb="FF222222"/>
        <rFont val="微软雅黑"/>
        <charset val="134"/>
      </rPr>
      <t>FlameLanceUltimate</t>
    </r>
  </si>
  <si>
    <r>
      <rPr>
        <sz val="10"/>
        <color rgb="FF222222"/>
        <rFont val="微软雅黑"/>
        <charset val="134"/>
      </rPr>
      <t>贯日炎枪</t>
    </r>
  </si>
  <si>
    <r>
      <rPr>
        <sz val="10"/>
        <color rgb="FF222222"/>
        <rFont val="微软雅黑"/>
        <charset val="134"/>
      </rPr>
      <t>大招</t>
    </r>
  </si>
  <si>
    <r>
      <rPr>
        <sz val="10"/>
        <color rgb="FF222222"/>
        <rFont val="微软雅黑"/>
        <charset val="134"/>
      </rPr>
      <t>length, bonusDamage</t>
    </r>
  </si>
  <si>
    <r>
      <rPr>
        <sz val="10"/>
        <color rgb="FF222222"/>
        <rFont val="微软雅黑"/>
        <charset val="134"/>
      </rPr>
      <t>杜林：指定方向直线6格穿透(火)</t>
    </r>
  </si>
  <si>
    <r>
      <rPr>
        <sz val="10"/>
        <color rgb="FF222222"/>
        <rFont val="微软雅黑"/>
        <charset val="134"/>
      </rPr>
      <t>ThunderSweepUltimate</t>
    </r>
  </si>
  <si>
    <r>
      <rPr>
        <sz val="10"/>
        <color rgb="FF222222"/>
        <rFont val="微软雅黑"/>
        <charset val="134"/>
      </rPr>
      <t>雷殛横光</t>
    </r>
  </si>
  <si>
    <r>
      <rPr>
        <sz val="10"/>
        <color rgb="FF222222"/>
        <rFont val="微软雅黑"/>
        <charset val="134"/>
      </rPr>
      <t>normalBonusDamage, empoweredBaseDamage, empoweredAttackPercent, empoweredEnergyCost, empoweredElemental</t>
    </r>
  </si>
  <si>
    <r>
      <rPr>
        <sz val="10"/>
        <color rgb="FF222222"/>
        <rFont val="微软雅黑"/>
        <charset val="134"/>
      </rPr>
      <t>菲林斯：横向3格/强化态周围1格(雷)</t>
    </r>
  </si>
  <si>
    <r>
      <rPr>
        <sz val="10"/>
        <color rgb="FF222222"/>
        <rFont val="微软雅黑"/>
        <charset val="134"/>
      </rPr>
      <t>ThunderDashUltimate</t>
    </r>
  </si>
  <si>
    <r>
      <rPr>
        <sz val="10"/>
        <color rgb="FF222222"/>
        <rFont val="微软雅黑"/>
        <charset val="134"/>
      </rPr>
      <t>雷驰突进</t>
    </r>
  </si>
  <si>
    <r>
      <rPr>
        <sz val="10"/>
        <color rgb="FF222222"/>
        <rFont val="微软雅黑"/>
        <charset val="134"/>
      </rPr>
      <t>healAmount</t>
    </r>
  </si>
  <si>
    <r>
      <rPr>
        <sz val="10"/>
        <color rgb="FF222222"/>
        <rFont val="微软雅黑"/>
        <charset val="134"/>
      </rPr>
      <t>克洛琳德：直线冲刺+回血10</t>
    </r>
  </si>
  <si>
    <r>
      <rPr>
        <sz val="10"/>
        <color rgb="FF222222"/>
        <rFont val="微软雅黑"/>
        <charset val="134"/>
      </rPr>
      <t>TideSurgeUltimate</t>
    </r>
  </si>
  <si>
    <r>
      <rPr>
        <sz val="10"/>
        <color rgb="FF222222"/>
        <rFont val="微软雅黑"/>
        <charset val="134"/>
      </rPr>
      <t>潮涌战意</t>
    </r>
  </si>
  <si>
    <r>
      <rPr>
        <sz val="10"/>
        <color rgb="FF222222"/>
        <rFont val="微软雅黑"/>
        <charset val="134"/>
      </rPr>
      <t>radius, bonusAttack, duration</t>
    </r>
  </si>
  <si>
    <r>
      <rPr>
        <sz val="10"/>
        <color rgb="FF222222"/>
        <rFont val="微软雅黑"/>
        <charset val="134"/>
      </rPr>
      <t>哥伦比亚：周围5格己方+攻4回合</t>
    </r>
  </si>
  <si>
    <r>
      <rPr>
        <sz val="10"/>
        <color rgb="FF222222"/>
        <rFont val="微软雅黑"/>
        <charset val="134"/>
      </rPr>
      <t>FrostArrowUltimate</t>
    </r>
  </si>
  <si>
    <r>
      <rPr>
        <sz val="10"/>
        <color rgb="FF222222"/>
        <rFont val="微软雅黑"/>
        <charset val="134"/>
      </rPr>
      <t>霜华贯矢</t>
    </r>
  </si>
  <si>
    <r>
      <rPr>
        <sz val="10"/>
        <color rgb="FF222222"/>
        <rFont val="微软雅黑"/>
        <charset val="134"/>
      </rPr>
      <t>physicalBonusDamage, magicBaseDamage, magicAttackPercent</t>
    </r>
  </si>
  <si>
    <r>
      <rPr>
        <sz val="10"/>
        <color rgb="FF222222"/>
        <rFont val="微软雅黑"/>
        <charset val="134"/>
      </rPr>
      <t>甘雨：蓄力三档(1单点/2周围1/3周围2)</t>
    </r>
  </si>
  <si>
    <r>
      <rPr>
        <sz val="10"/>
        <color rgb="FF222222"/>
        <rFont val="微软雅黑"/>
        <charset val="134"/>
      </rPr>
      <t>BaronBunnyUltimate</t>
    </r>
  </si>
  <si>
    <r>
      <rPr>
        <sz val="10"/>
        <color rgb="FF222222"/>
        <rFont val="微软雅黑"/>
        <charset val="134"/>
      </rPr>
      <t>兔兔伯爵</t>
    </r>
  </si>
  <si>
    <r>
      <rPr>
        <sz val="10"/>
        <color rgb="FF222222"/>
        <rFont val="微软雅黑"/>
        <charset val="134"/>
      </rPr>
      <t>puppetPieceId</t>
    </r>
  </si>
  <si>
    <r>
      <rPr>
        <sz val="10"/>
        <color rgb="FF222222"/>
        <rFont val="微软雅黑"/>
        <charset val="134"/>
      </rPr>
      <t>安柏：投放傀儡(嘲讽+引爆)</t>
    </r>
  </si>
  <si>
    <r>
      <rPr>
        <sz val="10"/>
        <color rgb="FF222222"/>
        <rFont val="微软雅黑"/>
        <charset val="134"/>
      </rPr>
      <t>OmenUltimate</t>
    </r>
  </si>
  <si>
    <r>
      <rPr>
        <sz val="10"/>
        <color rgb="FF222222"/>
        <rFont val="微软雅黑"/>
        <charset val="134"/>
      </rPr>
      <t>星异</t>
    </r>
  </si>
  <si>
    <r>
      <rPr>
        <sz val="10"/>
        <color rgb="FF222222"/>
        <rFont val="微软雅黑"/>
        <charset val="134"/>
      </rPr>
      <t>radius, duration, percent</t>
    </r>
  </si>
  <si>
    <r>
      <rPr>
        <sz val="10"/>
        <color rgb="FF222222"/>
        <rFont val="微软雅黑"/>
        <charset val="134"/>
      </rPr>
      <t>莫娜：目标周围易伤(受伤+50%)</t>
    </r>
  </si>
  <si>
    <r>
      <rPr>
        <sz val="10"/>
        <color rgb="FF222222"/>
        <rFont val="微软雅黑"/>
        <charset val="134"/>
      </rPr>
      <t>FrostFeastUltimate</t>
    </r>
  </si>
  <si>
    <r>
      <rPr>
        <sz val="10"/>
        <color rgb="FF222222"/>
        <rFont val="微软雅黑"/>
        <charset val="134"/>
      </rPr>
      <t>极寒飨宴</t>
    </r>
  </si>
  <si>
    <r>
      <rPr>
        <sz val="10"/>
        <color rgb="FF222222"/>
        <rFont val="微软雅黑"/>
        <charset val="134"/>
      </rPr>
      <t>radius, attackPercent, healAmount, stormTurns</t>
    </r>
  </si>
  <si>
    <r>
      <rPr>
        <sz val="10"/>
        <color rgb="FF222222"/>
        <rFont val="微软雅黑"/>
        <charset val="134"/>
      </rPr>
      <t>爱可菲：伤害+治疗+激活风暴</t>
    </r>
  </si>
  <si>
    <r>
      <rPr>
        <sz val="10"/>
        <color rgb="FF222222"/>
        <rFont val="微软雅黑"/>
        <charset val="134"/>
      </rPr>
      <t>MusouStrikeUltimate</t>
    </r>
  </si>
  <si>
    <r>
      <rPr>
        <sz val="10"/>
        <color rgb="FF222222"/>
        <rFont val="微软雅黑"/>
        <charset val="134"/>
      </rPr>
      <t>无想一刀</t>
    </r>
  </si>
  <si>
    <r>
      <rPr>
        <sz val="10"/>
        <color rgb="FF222222"/>
        <rFont val="微软雅黑"/>
        <charset val="134"/>
      </rPr>
      <t>attackPercent, synergyTurns</t>
    </r>
  </si>
  <si>
    <r>
      <rPr>
        <sz val="10"/>
        <color rgb="FF222222"/>
        <rFont val="微软雅黑"/>
        <charset val="134"/>
      </rPr>
      <t>雷电将军：横向3格+激活协同状态</t>
    </r>
  </si>
  <si>
    <r>
      <rPr>
        <b/>
        <sz val="16"/>
        <color rgb="FF1F3864"/>
        <rFont val="微软雅黑"/>
        <charset val="134"/>
      </rPr>
      <t>棋子配置清单</t>
    </r>
  </si>
  <si>
    <r>
      <rPr>
        <sz val="10"/>
        <color rgb="FF595959"/>
        <rFont val="微软雅黑"/>
        <charset val="134"/>
      </rPr>
      <t>九个棋子 + 兔兔伯爵傀儡的 PieceData.asset 在 Unity Inspector 中的字段填写清单（内联配置，无 SO 资产）</t>
    </r>
  </si>
  <si>
    <r>
      <rPr>
        <b/>
        <sz val="12"/>
        <color rgb="FFFFFFFF"/>
        <rFont val="微软雅黑"/>
        <charset val="134"/>
      </rPr>
      <t>◆ 杜林（火）· id=10</t>
    </r>
  </si>
  <si>
    <r>
      <rPr>
        <b/>
        <sz val="10"/>
        <color rgb="FF1F3864"/>
        <rFont val="Consolas"/>
        <charset val="134"/>
      </rPr>
      <t>id</t>
    </r>
  </si>
  <si>
    <r>
      <rPr>
        <sz val="10"/>
        <color rgb="FF222222"/>
        <rFont val="微软雅黑"/>
        <charset val="134"/>
      </rPr>
      <t>10</t>
    </r>
  </si>
  <si>
    <r>
      <rPr>
        <sz val="10"/>
        <color rgb="FF595959"/>
        <rFont val="微软雅黑"/>
        <charset val="134"/>
      </rPr>
      <t>注册表查找键（唯一）</t>
    </r>
  </si>
  <si>
    <r>
      <rPr>
        <b/>
        <sz val="10"/>
        <color rgb="FF1F3864"/>
        <rFont val="Consolas"/>
        <charset val="134"/>
      </rPr>
      <t>displayName</t>
    </r>
  </si>
  <si>
    <r>
      <rPr>
        <sz val="10"/>
        <color rgb="FF222222"/>
        <rFont val="微软雅黑"/>
        <charset val="134"/>
      </rPr>
      <t>杜林</t>
    </r>
  </si>
  <si>
    <r>
      <rPr>
        <sz val="10"/>
        <color rgb="FF595959"/>
        <rFont val="微软雅黑"/>
        <charset val="134"/>
      </rPr>
      <t>棋子显示名</t>
    </r>
  </si>
  <si>
    <r>
      <rPr>
        <b/>
        <sz val="10"/>
        <color rgb="FF1F3864"/>
        <rFont val="Consolas"/>
        <charset val="134"/>
      </rPr>
      <t>innateElement</t>
    </r>
  </si>
  <si>
    <r>
      <rPr>
        <sz val="10"/>
        <color rgb="FF222222"/>
        <rFont val="微软雅黑"/>
        <charset val="134"/>
      </rPr>
      <t>Fire</t>
    </r>
  </si>
  <si>
    <r>
      <rPr>
        <sz val="10"/>
        <color rgb="FF595959"/>
        <rFont val="微软雅黑"/>
        <charset val="134"/>
      </rPr>
      <t>火元素，攻击触发反应</t>
    </r>
  </si>
  <si>
    <r>
      <rPr>
        <b/>
        <sz val="10"/>
        <color rgb="FF1F3864"/>
        <rFont val="Consolas"/>
        <charset val="134"/>
      </rPr>
      <t>moveConfig.providerClassName</t>
    </r>
  </si>
  <si>
    <r>
      <rPr>
        <sz val="10"/>
        <color rgb="FF595959"/>
        <rFont val="微软雅黑"/>
        <charset val="134"/>
      </rPr>
      <t>通用移动</t>
    </r>
  </si>
  <si>
    <r>
      <rPr>
        <b/>
        <sz val="10"/>
        <color rgb="FF1F3864"/>
        <rFont val="Consolas"/>
        <charset val="134"/>
      </rPr>
      <t>moveConfig.baseRange</t>
    </r>
  </si>
  <si>
    <r>
      <rPr>
        <sz val="10"/>
        <color rgb="FF222222"/>
        <rFont val="微软雅黑"/>
        <charset val="134"/>
      </rPr>
      <t>3</t>
    </r>
  </si>
  <si>
    <r>
      <rPr>
        <sz val="10"/>
        <color rgb="FF595959"/>
        <rFont val="微软雅黑"/>
        <charset val="134"/>
      </rPr>
      <t>移动范围</t>
    </r>
  </si>
  <si>
    <r>
      <rPr>
        <b/>
        <sz val="10"/>
        <color rgb="FF1F3864"/>
        <rFont val="Consolas"/>
        <charset val="134"/>
      </rPr>
      <t>attackConfig.providerClassName</t>
    </r>
  </si>
  <si>
    <r>
      <rPr>
        <sz val="10"/>
        <color rgb="FF595959"/>
        <rFont val="微软雅黑"/>
        <charset val="134"/>
      </rPr>
      <t>直线穿透普攻</t>
    </r>
  </si>
  <si>
    <r>
      <rPr>
        <b/>
        <sz val="10"/>
        <color rgb="FF1F3864"/>
        <rFont val="Consolas"/>
        <charset val="134"/>
      </rPr>
      <t>attackConfig.baseRange</t>
    </r>
  </si>
  <si>
    <r>
      <rPr>
        <sz val="10"/>
        <color rgb="FF595959"/>
        <rFont val="微软雅黑"/>
        <charset val="134"/>
      </rPr>
      <t>普攻直线长度</t>
    </r>
  </si>
  <si>
    <r>
      <rPr>
        <b/>
        <sz val="10"/>
        <color rgb="FF1F3864"/>
        <rFont val="Consolas"/>
        <charset val="134"/>
      </rPr>
      <t>builtInPassives[0].className</t>
    </r>
  </si>
  <si>
    <r>
      <rPr>
        <sz val="10"/>
        <color rgb="FF595959"/>
        <rFont val="微软雅黑"/>
        <charset val="134"/>
      </rPr>
      <t>炎星溅射被动</t>
    </r>
  </si>
  <si>
    <r>
      <rPr>
        <b/>
        <sz val="10"/>
        <color rgb="FF1F3864"/>
        <rFont val="Consolas"/>
        <charset val="134"/>
      </rPr>
      <t>builtInPassives[0].jsonParams</t>
    </r>
  </si>
  <si>
    <r>
      <rPr>
        <sz val="10"/>
        <color rgb="FF222222"/>
        <rFont val="微软雅黑"/>
        <charset val="134"/>
      </rPr>
      <t>{"baseDamage":0,"attackPercent":50,"splashRadius":2,"goldPercent":0,"elemental":true}</t>
    </r>
  </si>
  <si>
    <r>
      <rPr>
        <sz val="10"/>
        <color rgb="FF595959"/>
        <rFont val="微软雅黑"/>
        <charset val="134"/>
      </rPr>
      <t>被动参数</t>
    </r>
  </si>
  <si>
    <r>
      <rPr>
        <b/>
        <sz val="10"/>
        <color rgb="FF1F3864"/>
        <rFont val="Consolas"/>
        <charset val="134"/>
      </rPr>
      <t>ultimateConfig.targetMode</t>
    </r>
  </si>
  <si>
    <r>
      <rPr>
        <sz val="10"/>
        <color rgb="FF222222"/>
        <rFont val="微软雅黑"/>
        <charset val="134"/>
      </rPr>
      <t>Tile</t>
    </r>
  </si>
  <si>
    <r>
      <rPr>
        <sz val="10"/>
        <color rgb="FF595959"/>
        <rFont val="微软雅黑"/>
        <charset val="134"/>
      </rPr>
      <t>指定格瞄准</t>
    </r>
  </si>
  <si>
    <r>
      <rPr>
        <b/>
        <sz val="10"/>
        <color rgb="FF1F3864"/>
        <rFont val="Consolas"/>
        <charset val="134"/>
      </rPr>
      <t>ultimateConfig.tileTargetRange</t>
    </r>
  </si>
  <si>
    <r>
      <rPr>
        <sz val="10"/>
        <color rgb="FF222222"/>
        <rFont val="微软雅黑"/>
        <charset val="134"/>
      </rPr>
      <t>6</t>
    </r>
  </si>
  <si>
    <r>
      <rPr>
        <sz val="10"/>
        <color rgb="FF595959"/>
        <rFont val="微软雅黑"/>
        <charset val="134"/>
      </rPr>
      <t>瞄准半径(与 length 一致)</t>
    </r>
  </si>
  <si>
    <r>
      <rPr>
        <b/>
        <sz val="10"/>
        <color rgb="FF1F3864"/>
        <rFont val="Consolas"/>
        <charset val="134"/>
      </rPr>
      <t>ultimateConfig.effectClassName</t>
    </r>
  </si>
  <si>
    <r>
      <rPr>
        <sz val="10"/>
        <color rgb="FF595959"/>
        <rFont val="微软雅黑"/>
        <charset val="134"/>
      </rPr>
      <t>贯日炎枪</t>
    </r>
  </si>
  <si>
    <r>
      <rPr>
        <b/>
        <sz val="10"/>
        <color rgb="FF1F3864"/>
        <rFont val="Consolas"/>
        <charset val="134"/>
      </rPr>
      <t>ultimateConfig.effectJsonParams</t>
    </r>
  </si>
  <si>
    <r>
      <rPr>
        <sz val="10"/>
        <color rgb="FF222222"/>
        <rFont val="微软雅黑"/>
        <charset val="134"/>
      </rPr>
      <t>{"length":6,"bonusDamage":0}</t>
    </r>
  </si>
  <si>
    <r>
      <rPr>
        <sz val="10"/>
        <color rgb="FF595959"/>
        <rFont val="微软雅黑"/>
        <charset val="134"/>
      </rPr>
      <t>大招参数</t>
    </r>
  </si>
  <si>
    <r>
      <rPr>
        <b/>
        <sz val="12"/>
        <color rgb="FFFFFFFF"/>
        <rFont val="微软雅黑"/>
        <charset val="134"/>
      </rPr>
      <t>◆ 菲林斯（雷）· id=1</t>
    </r>
  </si>
  <si>
    <r>
      <rPr>
        <sz val="10"/>
        <color rgb="FF222222"/>
        <rFont val="微软雅黑"/>
        <charset val="134"/>
      </rPr>
      <t>1</t>
    </r>
  </si>
  <si>
    <r>
      <rPr>
        <sz val="10"/>
        <color rgb="FF222222"/>
        <rFont val="微软雅黑"/>
        <charset val="134"/>
      </rPr>
      <t>菲林斯</t>
    </r>
  </si>
  <si>
    <r>
      <rPr>
        <sz val="10"/>
        <color rgb="FF222222"/>
        <rFont val="微软雅黑"/>
        <charset val="134"/>
      </rPr>
      <t>Thunder</t>
    </r>
  </si>
  <si>
    <r>
      <rPr>
        <sz val="10"/>
        <color rgb="FF595959"/>
        <rFont val="微软雅黑"/>
        <charset val="134"/>
      </rPr>
      <t>雷元素</t>
    </r>
  </si>
  <si>
    <r>
      <rPr>
        <sz val="10"/>
        <color rgb="FF222222"/>
        <rFont val="微软雅黑"/>
        <charset val="134"/>
      </rPr>
      <t>4</t>
    </r>
  </si>
  <si>
    <r>
      <rPr>
        <sz val="10"/>
        <color rgb="FF595959"/>
        <rFont val="微软雅黑"/>
        <charset val="134"/>
      </rPr>
      <t>通用普攻单目标</t>
    </r>
  </si>
  <si>
    <r>
      <rPr>
        <sz val="10"/>
        <color rgb="FF222222"/>
        <rFont val="微软雅黑"/>
        <charset val="134"/>
      </rPr>
      <t>2</t>
    </r>
  </si>
  <si>
    <r>
      <rPr>
        <sz val="10"/>
        <color rgb="FF595959"/>
        <rFont val="微软雅黑"/>
        <charset val="134"/>
      </rPr>
      <t>普攻范围</t>
    </r>
  </si>
  <si>
    <r>
      <rPr>
        <sz val="10"/>
        <color rgb="FF595959"/>
        <rFont val="微软雅黑"/>
        <charset val="134"/>
      </rPr>
      <t>雷蚀强化被动</t>
    </r>
  </si>
  <si>
    <r>
      <rPr>
        <sz val="10"/>
        <color rgb="FF222222"/>
        <rFont val="微软雅黑"/>
        <charset val="134"/>
      </rPr>
      <t>{"duration":6}</t>
    </r>
  </si>
  <si>
    <r>
      <rPr>
        <sz val="10"/>
        <color rgb="FF595959"/>
        <rFont val="微软雅黑"/>
        <charset val="134"/>
      </rPr>
      <t>强化持续6回合</t>
    </r>
  </si>
  <si>
    <r>
      <rPr>
        <sz val="10"/>
        <color rgb="FF595959"/>
        <rFont val="微软雅黑"/>
        <charset val="134"/>
      </rPr>
      <t>瞄准半径</t>
    </r>
  </si>
  <si>
    <r>
      <rPr>
        <b/>
        <sz val="10"/>
        <color rgb="FF1F3864"/>
        <rFont val="Consolas"/>
        <charset val="134"/>
      </rPr>
      <t>ultimateConfig.tileTargetShape</t>
    </r>
  </si>
  <si>
    <r>
      <rPr>
        <sz val="10"/>
        <color rgb="FF222222"/>
        <rFont val="微软雅黑"/>
        <charset val="134"/>
      </rPr>
      <t>Circle</t>
    </r>
  </si>
  <si>
    <r>
      <rPr>
        <sz val="10"/>
        <color rgb="FF595959"/>
        <rFont val="微软雅黑"/>
        <charset val="134"/>
      </rPr>
      <t>圆形高亮</t>
    </r>
  </si>
  <si>
    <r>
      <rPr>
        <sz val="10"/>
        <color rgb="FF595959"/>
        <rFont val="微软雅黑"/>
        <charset val="134"/>
      </rPr>
      <t>雷殛横光</t>
    </r>
  </si>
  <si>
    <r>
      <rPr>
        <sz val="10"/>
        <color rgb="FF222222"/>
        <rFont val="微软雅黑"/>
        <charset val="134"/>
      </rPr>
      <t>{"normalBonusDamage":0,"empoweredBaseDamage":0,"empoweredAttackPercent":0,"empoweredEnergyCost":50,"empoweredElemental":true}</t>
    </r>
  </si>
  <si>
    <r>
      <rPr>
        <b/>
        <sz val="12"/>
        <color rgb="FFFFFFFF"/>
        <rFont val="微软雅黑"/>
        <charset val="134"/>
      </rPr>
      <t>◆ 克洛琳德（雷）· id=11</t>
    </r>
  </si>
  <si>
    <r>
      <rPr>
        <sz val="10"/>
        <color rgb="FF222222"/>
        <rFont val="微软雅黑"/>
        <charset val="134"/>
      </rPr>
      <t>11</t>
    </r>
  </si>
  <si>
    <r>
      <rPr>
        <sz val="10"/>
        <color rgb="FF222222"/>
        <rFont val="微软雅黑"/>
        <charset val="134"/>
      </rPr>
      <t>克洛琳德</t>
    </r>
  </si>
  <si>
    <r>
      <rPr>
        <sz val="10"/>
        <color rgb="FF595959"/>
        <rFont val="微软雅黑"/>
        <charset val="134"/>
      </rPr>
      <t>直线穿越（穿棋子）</t>
    </r>
  </si>
  <si>
    <r>
      <rPr>
        <sz val="10"/>
        <color rgb="FF595959"/>
        <rFont val="微软雅黑"/>
        <charset val="134"/>
      </rPr>
      <t>雷径惩戒被动</t>
    </r>
  </si>
  <si>
    <r>
      <rPr>
        <sz val="10"/>
        <color rgb="FF222222"/>
        <rFont val="微软雅黑"/>
        <charset val="134"/>
      </rPr>
      <t>{"baseDamage":0,"attackPercent":0,"elemental":true}</t>
    </r>
  </si>
  <si>
    <r>
      <rPr>
        <sz val="10"/>
        <color rgb="FF595959"/>
        <rFont val="微软雅黑"/>
        <charset val="134"/>
      </rPr>
      <t>冲刺射程</t>
    </r>
  </si>
  <si>
    <r>
      <rPr>
        <sz val="10"/>
        <color rgb="FF222222"/>
        <rFont val="微软雅黑"/>
        <charset val="134"/>
      </rPr>
      <t>Ray</t>
    </r>
  </si>
  <si>
    <r>
      <rPr>
        <sz val="10"/>
        <color rgb="FF595959"/>
        <rFont val="微软雅黑"/>
        <charset val="134"/>
      </rPr>
      <t>直线冲刺(关键)</t>
    </r>
  </si>
  <si>
    <r>
      <rPr>
        <sz val="10"/>
        <color rgb="FF595959"/>
        <rFont val="微软雅黑"/>
        <charset val="134"/>
      </rPr>
      <t>雷驰突进</t>
    </r>
  </si>
  <si>
    <r>
      <rPr>
        <sz val="10"/>
        <color rgb="FF222222"/>
        <rFont val="微软雅黑"/>
        <charset val="134"/>
      </rPr>
      <t>{"healAmount":10}</t>
    </r>
  </si>
  <si>
    <r>
      <rPr>
        <sz val="10"/>
        <color rgb="FF595959"/>
        <rFont val="微软雅黑"/>
        <charset val="134"/>
      </rPr>
      <t>回血10</t>
    </r>
  </si>
  <si>
    <r>
      <rPr>
        <b/>
        <sz val="12"/>
        <color rgb="FFFFFFFF"/>
        <rFont val="微软雅黑"/>
        <charset val="134"/>
      </rPr>
      <t>◆ 哥伦比亚（水）· id=12</t>
    </r>
  </si>
  <si>
    <r>
      <rPr>
        <sz val="10"/>
        <color rgb="FF222222"/>
        <rFont val="微软雅黑"/>
        <charset val="134"/>
      </rPr>
      <t>12</t>
    </r>
  </si>
  <si>
    <r>
      <rPr>
        <sz val="10"/>
        <color rgb="FF222222"/>
        <rFont val="微软雅黑"/>
        <charset val="134"/>
      </rPr>
      <t>哥伦比亚</t>
    </r>
  </si>
  <si>
    <r>
      <rPr>
        <sz val="10"/>
        <color rgb="FF222222"/>
        <rFont val="微软雅黑"/>
        <charset val="134"/>
      </rPr>
      <t>Water</t>
    </r>
  </si>
  <si>
    <r>
      <rPr>
        <sz val="10"/>
        <color rgb="FF595959"/>
        <rFont val="微软雅黑"/>
        <charset val="134"/>
      </rPr>
      <t>水元素</t>
    </r>
  </si>
  <si>
    <r>
      <rPr>
        <sz val="10"/>
        <color rgb="FF595959"/>
        <rFont val="微软雅黑"/>
        <charset val="134"/>
      </rPr>
      <t>跳格移动（偶数距离）</t>
    </r>
  </si>
  <si>
    <r>
      <rPr>
        <sz val="10"/>
        <color rgb="FF595959"/>
        <rFont val="微软雅黑"/>
        <charset val="134"/>
      </rPr>
      <t>溅射普攻</t>
    </r>
  </si>
  <si>
    <r>
      <rPr>
        <b/>
        <sz val="10"/>
        <color rgb="FF1F3864"/>
        <rFont val="Consolas"/>
        <charset val="134"/>
      </rPr>
      <t>attackConfig.providerJsonParams</t>
    </r>
  </si>
  <si>
    <r>
      <rPr>
        <sz val="10"/>
        <color rgb="FF595959"/>
        <rFont val="微软雅黑"/>
        <charset val="134"/>
      </rPr>
      <t>溅射参数</t>
    </r>
  </si>
  <si>
    <r>
      <rPr>
        <sz val="10"/>
        <color rgb="FF595959"/>
        <rFont val="微软雅黑"/>
        <charset val="134"/>
      </rPr>
      <t>生命之息被动</t>
    </r>
  </si>
  <si>
    <r>
      <rPr>
        <sz val="10"/>
        <color rgb="FF222222"/>
        <rFont val="微软雅黑"/>
        <charset val="134"/>
      </rPr>
      <t>{"reviveHp":10}</t>
    </r>
  </si>
  <si>
    <r>
      <rPr>
        <sz val="10"/>
        <color rgb="FF595959"/>
        <rFont val="微软雅黑"/>
        <charset val="134"/>
      </rPr>
      <t>复活10血</t>
    </r>
  </si>
  <si>
    <r>
      <rPr>
        <sz val="10"/>
        <color rgb="FF222222"/>
        <rFont val="微软雅黑"/>
        <charset val="134"/>
      </rPr>
      <t>Self</t>
    </r>
  </si>
  <si>
    <r>
      <rPr>
        <sz val="10"/>
        <color rgb="FF595959"/>
        <rFont val="微软雅黑"/>
        <charset val="134"/>
      </rPr>
      <t>自身增益(无需指定目标)</t>
    </r>
  </si>
  <si>
    <r>
      <rPr>
        <sz val="10"/>
        <color rgb="FF595959"/>
        <rFont val="微软雅黑"/>
        <charset val="134"/>
      </rPr>
      <t>潮涌战意</t>
    </r>
  </si>
  <si>
    <r>
      <rPr>
        <sz val="10"/>
        <color rgb="FF222222"/>
        <rFont val="微软雅黑"/>
        <charset val="134"/>
      </rPr>
      <t>{"radius":5,"bonusAttack":0,"duration":4}</t>
    </r>
  </si>
  <si>
    <r>
      <rPr>
        <b/>
        <sz val="12"/>
        <color rgb="FFFFFFFF"/>
        <rFont val="微软雅黑"/>
        <charset val="134"/>
      </rPr>
      <t>◆ 甘雨（冰）· id=18（asset 未建，待用户自建）</t>
    </r>
  </si>
  <si>
    <r>
      <rPr>
        <sz val="10"/>
        <color rgb="FF222222"/>
        <rFont val="微软雅黑"/>
        <charset val="134"/>
      </rPr>
      <t>18</t>
    </r>
  </si>
  <si>
    <r>
      <rPr>
        <sz val="10"/>
        <color rgb="FF595959"/>
        <rFont val="微软雅黑"/>
        <charset val="134"/>
      </rPr>
      <t>建议 18（18 号，用户自建 asset 时定）</t>
    </r>
  </si>
  <si>
    <r>
      <rPr>
        <sz val="10"/>
        <color rgb="FF222222"/>
        <rFont val="微软雅黑"/>
        <charset val="134"/>
      </rPr>
      <t>甘雨</t>
    </r>
  </si>
  <si>
    <r>
      <rPr>
        <sz val="10"/>
        <color rgb="FF222222"/>
        <rFont val="微软雅黑"/>
        <charset val="134"/>
      </rPr>
      <t>Ice</t>
    </r>
  </si>
  <si>
    <r>
      <rPr>
        <sz val="10"/>
        <color rgb="FF595959"/>
        <rFont val="微软雅黑"/>
        <charset val="134"/>
      </rPr>
      <t>冰元素</t>
    </r>
  </si>
  <si>
    <r>
      <rPr>
        <sz val="10"/>
        <color rgb="FF595959"/>
        <rFont val="微软雅黑"/>
        <charset val="134"/>
      </rPr>
      <t>远程狙击（蓄力选目标用）</t>
    </r>
  </si>
  <si>
    <r>
      <rPr>
        <sz val="10"/>
        <color rgb="FF595959"/>
        <rFont val="微软雅黑"/>
        <charset val="134"/>
      </rPr>
      <t>普攻选目标范围</t>
    </r>
  </si>
  <si>
    <r>
      <rPr>
        <b/>
        <sz val="10"/>
        <color rgb="FF1F3864"/>
        <rFont val="Consolas"/>
        <charset val="134"/>
      </rPr>
      <t>usesChargeSystem</t>
    </r>
  </si>
  <si>
    <r>
      <rPr>
        <sz val="10"/>
        <color rgb="FF222222"/>
        <rFont val="微软雅黑"/>
        <charset val="134"/>
      </rPr>
      <t>true</t>
    </r>
  </si>
  <si>
    <r>
      <rPr>
        <sz val="10"/>
        <color rgb="FF595959"/>
        <rFont val="微软雅黑"/>
        <charset val="134"/>
      </rPr>
      <t>关键开关：无能量条+普攻蓄力+大招按层数</t>
    </r>
  </si>
  <si>
    <r>
      <rPr>
        <b/>
        <sz val="10"/>
        <color rgb="FF1F3864"/>
        <rFont val="Consolas"/>
        <charset val="134"/>
      </rPr>
      <t>maxChargeStacks</t>
    </r>
  </si>
  <si>
    <r>
      <rPr>
        <sz val="10"/>
        <color rgb="FF595959"/>
        <rFont val="微软雅黑"/>
        <charset val="134"/>
      </rPr>
      <t>蓄力层数上限</t>
    </r>
  </si>
  <si>
    <r>
      <rPr>
        <b/>
        <sz val="10"/>
        <color rgb="FF1F3864"/>
        <rFont val="Consolas"/>
        <charset val="134"/>
      </rPr>
      <t>builtInPassives</t>
    </r>
  </si>
  <si>
    <r>
      <rPr>
        <sz val="10"/>
        <color rgb="FF595959"/>
        <rFont val="微软雅黑"/>
        <charset val="134"/>
      </rPr>
      <t>蓄力是系统开关 usesChargeSystem，不是被动</t>
    </r>
  </si>
  <si>
    <r>
      <rPr>
        <sz val="10"/>
        <color rgb="FF595959"/>
        <rFont val="微软雅黑"/>
        <charset val="134"/>
      </rPr>
      <t>狙击射程</t>
    </r>
  </si>
  <si>
    <r>
      <rPr>
        <sz val="10"/>
        <color rgb="FF595959"/>
        <rFont val="微软雅黑"/>
        <charset val="134"/>
      </rPr>
      <t>霜华贯矢</t>
    </r>
  </si>
  <si>
    <r>
      <rPr>
        <sz val="10"/>
        <color rgb="FF222222"/>
        <rFont val="微软雅黑"/>
        <charset val="134"/>
      </rPr>
      <t>{"physicalBonusDamage":0,"magicBaseDamage":0,"magicAttackPercent":0}</t>
    </r>
  </si>
  <si>
    <r>
      <rPr>
        <b/>
        <sz val="12"/>
        <color rgb="FFFFFFFF"/>
        <rFont val="微软雅黑"/>
        <charset val="134"/>
      </rPr>
      <t>◆ 安柏（火）· id=13</t>
    </r>
  </si>
  <si>
    <r>
      <rPr>
        <sz val="10"/>
        <color rgb="FF222222"/>
        <rFont val="微软雅黑"/>
        <charset val="134"/>
      </rPr>
      <t>13</t>
    </r>
  </si>
  <si>
    <r>
      <rPr>
        <sz val="10"/>
        <color rgb="FF222222"/>
        <rFont val="微软雅黑"/>
        <charset val="134"/>
      </rPr>
      <t>安柏</t>
    </r>
  </si>
  <si>
    <r>
      <rPr>
        <sz val="10"/>
        <color rgb="FF595959"/>
        <rFont val="微软雅黑"/>
        <charset val="134"/>
      </rPr>
      <t>火元素</t>
    </r>
  </si>
  <si>
    <r>
      <rPr>
        <sz val="10"/>
        <color rgb="FF595959"/>
        <rFont val="微软雅黑"/>
        <charset val="134"/>
      </rPr>
      <t>远程普攻</t>
    </r>
  </si>
  <si>
    <r>
      <rPr>
        <sz val="10"/>
        <color rgb="FF595959"/>
        <rFont val="微软雅黑"/>
        <charset val="134"/>
      </rPr>
      <t>快速射击被动</t>
    </r>
  </si>
  <si>
    <r>
      <rPr>
        <sz val="10"/>
        <color rgb="FF222222"/>
        <rFont val="微软雅黑"/>
        <charset val="134"/>
      </rPr>
      <t>{"percent":100}</t>
    </r>
  </si>
  <si>
    <r>
      <rPr>
        <sz val="10"/>
        <color rgb="FF595959"/>
        <rFont val="微软雅黑"/>
        <charset val="134"/>
      </rPr>
      <t>二段100%攻击力</t>
    </r>
  </si>
  <si>
    <r>
      <rPr>
        <sz val="10"/>
        <color rgb="FF222222"/>
        <rFont val="微软雅黑"/>
        <charset val="134"/>
      </rPr>
      <t>5</t>
    </r>
  </si>
  <si>
    <r>
      <rPr>
        <sz val="10"/>
        <color rgb="FF595959"/>
        <rFont val="微软雅黑"/>
        <charset val="134"/>
      </rPr>
      <t>投放半径</t>
    </r>
  </si>
  <si>
    <r>
      <rPr>
        <sz val="10"/>
        <color rgb="FF595959"/>
        <rFont val="微软雅黑"/>
        <charset val="134"/>
      </rPr>
      <t>兔兔伯爵</t>
    </r>
  </si>
  <si>
    <r>
      <rPr>
        <sz val="10"/>
        <color rgb="FF222222"/>
        <rFont val="微软雅黑"/>
        <charset val="134"/>
      </rPr>
      <t>{"puppetPieceId":14}</t>
    </r>
  </si>
  <si>
    <r>
      <rPr>
        <sz val="10"/>
        <color rgb="FF595959"/>
        <rFont val="微软雅黑"/>
        <charset val="134"/>
      </rPr>
      <t>指向傀儡资产 id</t>
    </r>
  </si>
  <si>
    <r>
      <rPr>
        <b/>
        <sz val="12"/>
        <color rgb="FFFFFFFF"/>
        <rFont val="微软雅黑"/>
        <charset val="134"/>
      </rPr>
      <t>◆ 兔兔伯爵（傀儡）· id=14</t>
    </r>
  </si>
  <si>
    <r>
      <rPr>
        <sz val="10"/>
        <color rgb="FF222222"/>
        <rFont val="微软雅黑"/>
        <charset val="134"/>
      </rPr>
      <t>14</t>
    </r>
  </si>
  <si>
    <r>
      <rPr>
        <sz val="10"/>
        <color rgb="FF595959"/>
        <rFont val="微软雅黑"/>
        <charset val="134"/>
      </rPr>
      <t>傀儡显示名</t>
    </r>
  </si>
  <si>
    <r>
      <rPr>
        <b/>
        <sz val="10"/>
        <color rgb="FF1F3864"/>
        <rFont val="Consolas"/>
        <charset val="134"/>
      </rPr>
      <t>isSummon</t>
    </r>
  </si>
  <si>
    <r>
      <rPr>
        <sz val="10"/>
        <color rgb="FF595959"/>
        <rFont val="微软雅黑"/>
        <charset val="134"/>
      </rPr>
      <t>关键：临时召唤物，不计胜负/不可选中/不进选人界面</t>
    </r>
  </si>
  <si>
    <r>
      <rPr>
        <b/>
        <sz val="10"/>
        <color rgb="FF1F3864"/>
        <rFont val="Consolas"/>
        <charset val="134"/>
      </rPr>
      <t>maxHP</t>
    </r>
  </si>
  <si>
    <r>
      <rPr>
        <sz val="10"/>
        <color rgb="FF222222"/>
        <rFont val="微软雅黑"/>
        <charset val="134"/>
      </rPr>
      <t>9999</t>
    </r>
  </si>
  <si>
    <r>
      <rPr>
        <sz val="10"/>
        <color rgb="FF595959"/>
        <rFont val="微软雅黑"/>
        <charset val="134"/>
      </rPr>
      <t>高 HP 防伤害致死（受击计数不看伤害值）</t>
    </r>
  </si>
  <si>
    <r>
      <rPr>
        <sz val="10"/>
        <color rgb="FF222222"/>
        <rFont val="微软雅黑"/>
        <charset val="134"/>
      </rPr>
      <t>None</t>
    </r>
  </si>
  <si>
    <r>
      <rPr>
        <sz val="10"/>
        <color rgb="FF595959"/>
        <rFont val="微软雅黑"/>
        <charset val="134"/>
      </rPr>
      <t>傀儡无元素</t>
    </r>
  </si>
  <si>
    <r>
      <rPr>
        <sz val="10"/>
        <color rgb="FF222222"/>
        <rFont val="微软雅黑"/>
        <charset val="134"/>
      </rPr>
      <t>0</t>
    </r>
  </si>
  <si>
    <r>
      <rPr>
        <sz val="10"/>
        <color rgb="FF595959"/>
        <rFont val="微软雅黑"/>
        <charset val="134"/>
      </rPr>
      <t>不可移动</t>
    </r>
  </si>
  <si>
    <r>
      <rPr>
        <sz val="10"/>
        <color rgb="FF595959"/>
        <rFont val="微软雅黑"/>
        <charset val="134"/>
      </rPr>
      <t>不可攻击（占位）</t>
    </r>
  </si>
  <si>
    <r>
      <rPr>
        <sz val="10"/>
        <color rgb="FF595959"/>
        <rFont val="微软雅黑"/>
        <charset val="134"/>
      </rPr>
      <t>傀儡核心被动</t>
    </r>
  </si>
  <si>
    <r>
      <rPr>
        <sz val="10"/>
        <color rgb="FF222222"/>
        <rFont val="微软雅黑"/>
        <charset val="134"/>
      </rPr>
      <t>{"hitsToDetonate":3,"maxTurns":6,"tauntRange":2,"explosionRadius":1,"baseDamage":0,"attackPercent":100}</t>
    </r>
  </si>
  <si>
    <r>
      <rPr>
        <sz val="10"/>
        <color rgb="FF595959"/>
        <rFont val="微软雅黑"/>
        <charset val="134"/>
      </rPr>
      <t>傀儡参数</t>
    </r>
  </si>
  <si>
    <r>
      <rPr>
        <b/>
        <sz val="10"/>
        <color rgb="FF1F3864"/>
        <rFont val="Consolas"/>
        <charset val="134"/>
      </rPr>
      <t>ultimateConfig</t>
    </r>
  </si>
  <si>
    <r>
      <rPr>
        <sz val="10"/>
        <color rgb="FF595959"/>
        <rFont val="微软雅黑"/>
        <charset val="134"/>
      </rPr>
      <t>无大招、无能量条</t>
    </r>
  </si>
  <si>
    <r>
      <rPr>
        <b/>
        <sz val="12"/>
        <color rgb="FFFFFFFF"/>
        <rFont val="微软雅黑"/>
        <charset val="134"/>
      </rPr>
      <t>◆ 莫娜（水）· id=15</t>
    </r>
  </si>
  <si>
    <r>
      <rPr>
        <sz val="10"/>
        <color rgb="FF222222"/>
        <rFont val="微软雅黑"/>
        <charset val="134"/>
      </rPr>
      <t>15</t>
    </r>
  </si>
  <si>
    <r>
      <rPr>
        <sz val="10"/>
        <color rgb="FF222222"/>
        <rFont val="微软雅黑"/>
        <charset val="134"/>
      </rPr>
      <t>莫娜</t>
    </r>
  </si>
  <si>
    <r>
      <rPr>
        <sz val="10"/>
        <color rgb="FF595959"/>
        <rFont val="微软雅黑"/>
        <charset val="134"/>
      </rPr>
      <t>飞行移动（不被阻拦）</t>
    </r>
  </si>
  <si>
    <r>
      <rPr>
        <sz val="10"/>
        <color rgb="FF595959"/>
        <rFont val="微软雅黑"/>
        <charset val="134"/>
      </rPr>
      <t>水域领域被动</t>
    </r>
  </si>
  <si>
    <r>
      <rPr>
        <sz val="10"/>
        <color rgb="FF222222"/>
        <rFont val="微软雅黑"/>
        <charset val="134"/>
      </rPr>
      <t>{"radius":2,"baseDamage":0,"attackPercent":50}</t>
    </r>
  </si>
  <si>
    <r>
      <rPr>
        <sz val="10"/>
        <color rgb="FF595959"/>
        <rFont val="微软雅黑"/>
        <charset val="134"/>
      </rPr>
      <t>领域参数</t>
    </r>
  </si>
  <si>
    <r>
      <rPr>
        <sz val="10"/>
        <color rgb="FF595959"/>
        <rFont val="微软雅黑"/>
        <charset val="134"/>
      </rPr>
      <t>星异</t>
    </r>
  </si>
  <si>
    <r>
      <rPr>
        <sz val="10"/>
        <color rgb="FF222222"/>
        <rFont val="微软雅黑"/>
        <charset val="134"/>
      </rPr>
      <t>{"radius":2,"duration":4,"percent":50}</t>
    </r>
  </si>
  <si>
    <r>
      <rPr>
        <sz val="10"/>
        <color rgb="FF595959"/>
        <rFont val="微软雅黑"/>
        <charset val="134"/>
      </rPr>
      <t>易伤参数</t>
    </r>
  </si>
  <si>
    <r>
      <rPr>
        <b/>
        <sz val="12"/>
        <color rgb="FFFFFFFF"/>
        <rFont val="微软雅黑"/>
        <charset val="134"/>
      </rPr>
      <t>◆ 爱可菲（冰）· id=16</t>
    </r>
  </si>
  <si>
    <r>
      <rPr>
        <sz val="10"/>
        <color rgb="FF222222"/>
        <rFont val="微软雅黑"/>
        <charset val="134"/>
      </rPr>
      <t>16</t>
    </r>
  </si>
  <si>
    <r>
      <rPr>
        <sz val="10"/>
        <color rgb="FF222222"/>
        <rFont val="微软雅黑"/>
        <charset val="134"/>
      </rPr>
      <t>爱可菲</t>
    </r>
  </si>
  <si>
    <r>
      <rPr>
        <sz val="10"/>
        <color rgb="FF595959"/>
        <rFont val="微软雅黑"/>
        <charset val="134"/>
      </rPr>
      <t>冰锋蚀甲被动</t>
    </r>
  </si>
  <si>
    <r>
      <rPr>
        <sz val="10"/>
        <color rgb="FF222222"/>
        <rFont val="微软雅黑"/>
        <charset val="134"/>
      </rPr>
      <t>{"amount":4,"duration":4}</t>
    </r>
  </si>
  <si>
    <r>
      <rPr>
        <sz val="10"/>
        <color rgb="FF595959"/>
        <rFont val="微软雅黑"/>
        <charset val="134"/>
      </rPr>
      <t>减防4点持续4回合</t>
    </r>
  </si>
  <si>
    <r>
      <rPr>
        <b/>
        <sz val="10"/>
        <color rgb="FF1F3864"/>
        <rFont val="Consolas"/>
        <charset val="134"/>
      </rPr>
      <t>builtInPassives[1].className</t>
    </r>
  </si>
  <si>
    <r>
      <rPr>
        <sz val="10"/>
        <color rgb="FF595959"/>
        <rFont val="微软雅黑"/>
        <charset val="134"/>
      </rPr>
      <t>凛冬风暴被动</t>
    </r>
  </si>
  <si>
    <r>
      <rPr>
        <b/>
        <sz val="10"/>
        <color rgb="FF1F3864"/>
        <rFont val="Consolas"/>
        <charset val="134"/>
      </rPr>
      <t>builtInPassives[1].jsonParams</t>
    </r>
  </si>
  <si>
    <r>
      <rPr>
        <sz val="10"/>
        <color rgb="FF222222"/>
        <rFont val="微软雅黑"/>
        <charset val="134"/>
      </rPr>
      <t>{"radius":3,"baseDamage":0,"attackPercent":30}</t>
    </r>
  </si>
  <si>
    <r>
      <rPr>
        <sz val="10"/>
        <color rgb="FF595959"/>
        <rFont val="微软雅黑"/>
        <charset val="134"/>
      </rPr>
      <t>风暴参数</t>
    </r>
  </si>
  <si>
    <r>
      <rPr>
        <sz val="10"/>
        <color rgb="FF595959"/>
        <rFont val="微软雅黑"/>
        <charset val="134"/>
      </rPr>
      <t>极寒飨宴</t>
    </r>
  </si>
  <si>
    <r>
      <rPr>
        <sz val="10"/>
        <color rgb="FF222222"/>
        <rFont val="微软雅黑"/>
        <charset val="134"/>
      </rPr>
      <t>{"radius":1,"attackPercent":100,"healAmount":10,"stormTurns":4}</t>
    </r>
  </si>
  <si>
    <r>
      <rPr>
        <b/>
        <sz val="12"/>
        <color rgb="FFFFFFFF"/>
        <rFont val="微软雅黑"/>
        <charset val="134"/>
      </rPr>
      <t>◆ 雷电将军（雷）· id=17</t>
    </r>
  </si>
  <si>
    <r>
      <rPr>
        <sz val="10"/>
        <color rgb="FF222222"/>
        <rFont val="微软雅黑"/>
        <charset val="134"/>
      </rPr>
      <t>17</t>
    </r>
  </si>
  <si>
    <r>
      <rPr>
        <sz val="10"/>
        <color rgb="FF222222"/>
        <rFont val="微软雅黑"/>
        <charset val="134"/>
      </rPr>
      <t>雷电将军</t>
    </r>
  </si>
  <si>
    <r>
      <rPr>
        <sz val="10"/>
        <color rgb="FF595959"/>
        <rFont val="微软雅黑"/>
        <charset val="134"/>
      </rPr>
      <t>雷罚恶曜之眼被动</t>
    </r>
  </si>
  <si>
    <r>
      <rPr>
        <sz val="10"/>
        <color rgb="FF222222"/>
        <rFont val="微软雅黑"/>
        <charset val="134"/>
      </rPr>
      <t>{"energyGain":10}</t>
    </r>
  </si>
  <si>
    <r>
      <rPr>
        <sz val="10"/>
        <color rgb="FF595959"/>
        <rFont val="微软雅黑"/>
        <charset val="134"/>
      </rPr>
      <t>队友开大回10能量</t>
    </r>
  </si>
  <si>
    <r>
      <rPr>
        <sz val="10"/>
        <color rgb="FF595959"/>
        <rFont val="微软雅黑"/>
        <charset val="134"/>
      </rPr>
      <t>协同状态被动</t>
    </r>
  </si>
  <si>
    <r>
      <rPr>
        <sz val="10"/>
        <color rgb="FF222222"/>
        <rFont val="微软雅黑"/>
        <charset val="134"/>
      </rPr>
      <t>{"baseDamage":0,"attackPercent":50,"energyPerAttack":5}</t>
    </r>
  </si>
  <si>
    <r>
      <rPr>
        <sz val="10"/>
        <color rgb="FF595959"/>
        <rFont val="微软雅黑"/>
        <charset val="134"/>
      </rPr>
      <t>协同参数</t>
    </r>
  </si>
  <si>
    <r>
      <rPr>
        <sz val="10"/>
        <color rgb="FF595959"/>
        <rFont val="微软雅黑"/>
        <charset val="134"/>
      </rPr>
      <t>无想一刀</t>
    </r>
  </si>
  <si>
    <r>
      <rPr>
        <sz val="10"/>
        <color rgb="FF222222"/>
        <rFont val="微软雅黑"/>
        <charset val="134"/>
      </rPr>
      <t>{"attackPercent":100,"synergyTurns":6}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</si>
</sst>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1F3864"/>
      <name val="微软雅黑"/>
      <charset val="134"/>
    </font>
    <font>
      <sz val="10"/>
      <color rgb="FF595959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1F3864"/>
      <name val="Consolas"/>
      <charset val="134"/>
    </font>
    <font>
      <sz val="10"/>
      <color rgb="FF222222"/>
      <name val="微软雅黑"/>
      <charset val="134"/>
    </font>
    <font>
      <b/>
      <sz val="10"/>
      <color rgb="FFFFFFFF"/>
      <name val="微软雅黑"/>
      <charset val="134"/>
    </font>
    <font>
      <sz val="9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6100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8" fillId="0" borderId="0" xfId="0" applyFont="1"/>
    <xf numFmtId="0" fontId="9" fillId="7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9" fillId="7" borderId="1" xfId="0" applyFont="1" applyFill="1" applyBorder="1" applyAlignment="1">
      <alignment horizontal="left" vertical="center" wrapText="1"/>
    </xf>
    <xf numFmtId="0" fontId="3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opLeftCell="A63" workbookViewId="0">
      <selection activeCell="A1" sqref="A1:E1"/>
    </sheetView>
  </sheetViews>
  <sheetFormatPr defaultColWidth="9" defaultRowHeight="14" outlineLevelCol="4"/>
  <cols>
    <col min="1" max="1" width="22" customWidth="1"/>
    <col min="2" max="2" width="12" customWidth="1"/>
    <col min="3" max="3" width="18" customWidth="1"/>
    <col min="4" max="4" width="12" customWidth="1"/>
    <col min="5" max="5" width="99.0909090909091" customWidth="1"/>
  </cols>
  <sheetData>
    <row r="1" ht="22.5" spans="1:5">
      <c r="A1" s="1" t="s">
        <v>0</v>
      </c>
    </row>
    <row r="2" ht="14.5" spans="1:5">
      <c r="A2" s="2" t="s">
        <v>1</v>
      </c>
    </row>
    <row r="3" ht="14.5" spans="1:5">
      <c r="A3" s="2" t="s">
        <v>2</v>
      </c>
    </row>
    <row r="5" ht="16.5" spans="1:5">
      <c r="A5" s="20" t="s">
        <v>3</v>
      </c>
      <c r="B5" s="9"/>
      <c r="C5" s="9"/>
      <c r="D5" s="9"/>
      <c r="E5" s="10" t="s">
        <v>4</v>
      </c>
    </row>
    <row r="6" ht="14.5" spans="1:5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</row>
    <row r="7" spans="1:5">
      <c r="A7" s="4" t="s">
        <v>10</v>
      </c>
      <c r="B7" s="11" t="s">
        <v>11</v>
      </c>
      <c r="C7" s="12">
        <v>0</v>
      </c>
      <c r="D7" s="13">
        <v>0</v>
      </c>
      <c r="E7" s="14" t="s">
        <v>12</v>
      </c>
    </row>
    <row r="8" spans="1:5">
      <c r="A8" s="4" t="s">
        <v>13</v>
      </c>
      <c r="B8" s="11" t="s">
        <v>11</v>
      </c>
      <c r="C8" s="12">
        <v>50</v>
      </c>
      <c r="D8" s="13">
        <v>50</v>
      </c>
      <c r="E8" s="14" t="s">
        <v>14</v>
      </c>
    </row>
    <row r="9" spans="1:5">
      <c r="A9" s="4" t="s">
        <v>15</v>
      </c>
      <c r="B9" s="11" t="s">
        <v>11</v>
      </c>
      <c r="C9" s="12">
        <v>2</v>
      </c>
      <c r="D9" s="13">
        <v>2</v>
      </c>
      <c r="E9" s="14" t="s">
        <v>16</v>
      </c>
    </row>
    <row r="10" spans="1:5">
      <c r="A10" s="4" t="s">
        <v>17</v>
      </c>
      <c r="B10" s="11" t="s">
        <v>18</v>
      </c>
      <c r="C10" s="12">
        <v>0</v>
      </c>
      <c r="D10" s="13">
        <v>0</v>
      </c>
      <c r="E10" s="14" t="s">
        <v>19</v>
      </c>
    </row>
    <row r="11" spans="1:5">
      <c r="A11" s="4" t="s">
        <v>20</v>
      </c>
      <c r="B11" s="11" t="s">
        <v>21</v>
      </c>
      <c r="C11" s="12" t="s">
        <v>22</v>
      </c>
      <c r="D11" s="13" t="s">
        <v>22</v>
      </c>
      <c r="E11" s="14" t="s">
        <v>23</v>
      </c>
    </row>
    <row r="12" ht="14.5" spans="1:5">
      <c r="A12" s="15" t="s">
        <v>24</v>
      </c>
      <c r="C12" s="16" t="s">
        <v>25</v>
      </c>
      <c r="D12" s="17"/>
      <c r="E12" s="18"/>
    </row>
    <row r="13" ht="30" customHeight="1" spans="1:5">
      <c r="A13" s="15" t="s">
        <v>26</v>
      </c>
      <c r="C13" s="19" t="str">
        <f>"{"&amp;CHAR(34)&amp;"baseDamage"&amp;CHAR(34)&amp;":"&amp;C7&amp;","&amp;CHAR(34)&amp;"attackPercent"&amp;CHAR(34)&amp;":"&amp;C8&amp;","&amp;CHAR(34)&amp;"splashRadius"&amp;CHAR(34)&amp;":"&amp;C9&amp;","&amp;CHAR(34)&amp;"goldPercent"&amp;CHAR(34)&amp;":"&amp;C10&amp;","&amp;CHAR(34)&amp;"elemental"&amp;CHAR(34)&amp;":"&amp;C11&amp;"}"</f>
        <v>{"baseDamage":0,"attackPercent":50,"splashRadius":2,"goldPercent":0,"elemental":true}</v>
      </c>
      <c r="D13" s="17"/>
      <c r="E13" s="18"/>
    </row>
    <row r="15" ht="16.5" spans="1:5">
      <c r="A15" s="3" t="s">
        <v>27</v>
      </c>
      <c r="B15" s="9"/>
      <c r="C15" s="9"/>
      <c r="D15" s="9"/>
      <c r="E15" s="10" t="s">
        <v>28</v>
      </c>
    </row>
    <row r="16" ht="14.5" spans="1:5">
      <c r="A16" s="7" t="s">
        <v>5</v>
      </c>
      <c r="B16" s="7" t="s">
        <v>6</v>
      </c>
      <c r="C16" s="7" t="s">
        <v>7</v>
      </c>
      <c r="D16" s="7" t="s">
        <v>8</v>
      </c>
      <c r="E16" s="7" t="s">
        <v>9</v>
      </c>
    </row>
    <row r="17" spans="1:5">
      <c r="A17" s="4" t="s">
        <v>29</v>
      </c>
      <c r="B17" s="11" t="s">
        <v>11</v>
      </c>
      <c r="C17" s="12">
        <v>6</v>
      </c>
      <c r="D17" s="13">
        <v>6</v>
      </c>
      <c r="E17" s="14" t="s">
        <v>30</v>
      </c>
    </row>
    <row r="18" ht="14.5" spans="1:5">
      <c r="A18" s="15" t="s">
        <v>24</v>
      </c>
      <c r="C18" s="16" t="s">
        <v>31</v>
      </c>
      <c r="D18" s="17"/>
      <c r="E18" s="18"/>
    </row>
    <row r="19" ht="30" customHeight="1" spans="1:5">
      <c r="A19" s="15" t="s">
        <v>26</v>
      </c>
      <c r="C19" s="19" t="str">
        <f>"{"&amp;CHAR(34)&amp;"duration"&amp;CHAR(34)&amp;":"&amp;C17&amp;"}"</f>
        <v>{"duration":6}</v>
      </c>
      <c r="D19" s="17"/>
      <c r="E19" s="18"/>
    </row>
    <row r="21" ht="16.5" spans="1:5">
      <c r="A21" s="20" t="s">
        <v>32</v>
      </c>
      <c r="B21" s="9"/>
      <c r="C21" s="9"/>
      <c r="D21" s="9"/>
      <c r="E21" s="10" t="s">
        <v>33</v>
      </c>
    </row>
    <row r="22" ht="14.5" spans="1:5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</row>
    <row r="23" spans="1:5">
      <c r="A23" s="4" t="s">
        <v>10</v>
      </c>
      <c r="B23" s="11" t="s">
        <v>11</v>
      </c>
      <c r="C23" s="12">
        <v>0</v>
      </c>
      <c r="D23" s="13">
        <v>0</v>
      </c>
      <c r="E23" s="14" t="s">
        <v>34</v>
      </c>
    </row>
    <row r="24" spans="1:5">
      <c r="A24" s="4" t="s">
        <v>13</v>
      </c>
      <c r="B24" s="11" t="s">
        <v>11</v>
      </c>
      <c r="C24" s="12">
        <v>0</v>
      </c>
      <c r="D24" s="13">
        <v>0</v>
      </c>
      <c r="E24" s="14" t="s">
        <v>35</v>
      </c>
    </row>
    <row r="25" spans="1:5">
      <c r="A25" s="4" t="s">
        <v>20</v>
      </c>
      <c r="B25" s="11" t="s">
        <v>21</v>
      </c>
      <c r="C25" s="12" t="s">
        <v>22</v>
      </c>
      <c r="D25" s="13" t="s">
        <v>22</v>
      </c>
      <c r="E25" s="14" t="s">
        <v>36</v>
      </c>
    </row>
    <row r="26" ht="14.5" spans="1:5">
      <c r="A26" s="15" t="s">
        <v>24</v>
      </c>
      <c r="C26" s="16" t="s">
        <v>37</v>
      </c>
      <c r="D26" s="17"/>
      <c r="E26" s="18"/>
    </row>
    <row r="27" ht="30" customHeight="1" spans="1:5">
      <c r="A27" s="15" t="s">
        <v>26</v>
      </c>
      <c r="C27" s="19" t="str">
        <f>"{"&amp;CHAR(34)&amp;"baseDamage"&amp;CHAR(34)&amp;":"&amp;C23&amp;","&amp;CHAR(34)&amp;"attackPercent"&amp;CHAR(34)&amp;":"&amp;C24&amp;","&amp;CHAR(34)&amp;"elemental"&amp;CHAR(34)&amp;":"&amp;C25&amp;"}"</f>
        <v>{"baseDamage":0,"attackPercent":0,"elemental":true}</v>
      </c>
      <c r="D27" s="17"/>
      <c r="E27" s="18"/>
    </row>
    <row r="29" ht="16.5" spans="1:5">
      <c r="A29" s="3" t="s">
        <v>38</v>
      </c>
      <c r="B29" s="9"/>
      <c r="C29" s="9"/>
      <c r="D29" s="9"/>
      <c r="E29" s="10" t="s">
        <v>39</v>
      </c>
    </row>
    <row r="30" ht="14.5" spans="1:5">
      <c r="A30" s="7" t="s">
        <v>5</v>
      </c>
      <c r="B30" s="7" t="s">
        <v>6</v>
      </c>
      <c r="C30" s="7" t="s">
        <v>7</v>
      </c>
      <c r="D30" s="7" t="s">
        <v>8</v>
      </c>
      <c r="E30" s="7" t="s">
        <v>9</v>
      </c>
    </row>
    <row r="31" spans="1:5">
      <c r="A31" s="4" t="s">
        <v>40</v>
      </c>
      <c r="B31" s="11" t="s">
        <v>11</v>
      </c>
      <c r="C31" s="12">
        <v>10</v>
      </c>
      <c r="D31" s="13">
        <v>10</v>
      </c>
      <c r="E31" s="14" t="s">
        <v>41</v>
      </c>
    </row>
    <row r="32" ht="14.5" spans="1:5">
      <c r="A32" s="15" t="s">
        <v>24</v>
      </c>
      <c r="C32" s="16" t="s">
        <v>42</v>
      </c>
      <c r="D32" s="17"/>
      <c r="E32" s="18"/>
    </row>
    <row r="33" ht="30" customHeight="1" spans="1:5">
      <c r="A33" s="15" t="s">
        <v>26</v>
      </c>
      <c r="C33" s="19" t="str">
        <f>"{"&amp;CHAR(34)&amp;"reviveHp"&amp;CHAR(34)&amp;":"&amp;C31&amp;"}"</f>
        <v>{"reviveHp":10}</v>
      </c>
      <c r="D33" s="17"/>
      <c r="E33" s="18"/>
    </row>
    <row r="35" ht="16.5" spans="1:5">
      <c r="A35" s="3" t="s">
        <v>43</v>
      </c>
      <c r="B35" s="9"/>
      <c r="C35" s="9"/>
      <c r="D35" s="9"/>
      <c r="E35" s="10" t="s">
        <v>44</v>
      </c>
    </row>
    <row r="36" ht="14.5" spans="1:5">
      <c r="A36" s="7" t="s">
        <v>5</v>
      </c>
      <c r="B36" s="7" t="s">
        <v>6</v>
      </c>
      <c r="C36" s="7" t="s">
        <v>7</v>
      </c>
      <c r="D36" s="7" t="s">
        <v>8</v>
      </c>
      <c r="E36" s="7" t="s">
        <v>9</v>
      </c>
    </row>
    <row r="37" spans="1:5">
      <c r="A37" s="4" t="s">
        <v>45</v>
      </c>
      <c r="B37" s="11" t="s">
        <v>11</v>
      </c>
      <c r="C37" s="12">
        <v>100</v>
      </c>
      <c r="D37" s="13">
        <v>100</v>
      </c>
      <c r="E37" s="14" t="s">
        <v>46</v>
      </c>
    </row>
    <row r="38" ht="14.5" spans="1:5">
      <c r="A38" s="15" t="s">
        <v>24</v>
      </c>
      <c r="C38" s="16" t="s">
        <v>47</v>
      </c>
      <c r="D38" s="17"/>
      <c r="E38" s="18"/>
    </row>
    <row r="39" ht="30" customHeight="1" spans="1:5">
      <c r="A39" s="15" t="s">
        <v>26</v>
      </c>
      <c r="C39" s="19" t="str">
        <f>"{"&amp;CHAR(34)&amp;"percent"&amp;CHAR(34)&amp;":"&amp;C37&amp;"}"</f>
        <v>{"percent":100}</v>
      </c>
      <c r="D39" s="17"/>
      <c r="E39" s="18"/>
    </row>
    <row r="41" ht="16.5" spans="1:5">
      <c r="A41" s="3" t="s">
        <v>48</v>
      </c>
      <c r="B41" s="9"/>
      <c r="C41" s="9"/>
      <c r="D41" s="9"/>
      <c r="E41" s="10" t="s">
        <v>49</v>
      </c>
    </row>
    <row r="42" ht="14.5" spans="1:5">
      <c r="A42" s="7" t="s">
        <v>5</v>
      </c>
      <c r="B42" s="7" t="s">
        <v>6</v>
      </c>
      <c r="C42" s="7" t="s">
        <v>7</v>
      </c>
      <c r="D42" s="7" t="s">
        <v>8</v>
      </c>
      <c r="E42" s="7" t="s">
        <v>9</v>
      </c>
    </row>
    <row r="43" spans="1:5">
      <c r="A43" s="4" t="s">
        <v>50</v>
      </c>
      <c r="B43" s="11" t="s">
        <v>11</v>
      </c>
      <c r="C43" s="12">
        <v>3</v>
      </c>
      <c r="D43" s="13">
        <v>3</v>
      </c>
      <c r="E43" s="14" t="s">
        <v>51</v>
      </c>
    </row>
    <row r="44" spans="1:5">
      <c r="A44" s="4" t="s">
        <v>52</v>
      </c>
      <c r="B44" s="11" t="s">
        <v>11</v>
      </c>
      <c r="C44" s="12">
        <v>6</v>
      </c>
      <c r="D44" s="13">
        <v>6</v>
      </c>
      <c r="E44" s="14" t="s">
        <v>53</v>
      </c>
    </row>
    <row r="45" spans="1:5">
      <c r="A45" s="4" t="s">
        <v>54</v>
      </c>
      <c r="B45" s="11" t="s">
        <v>11</v>
      </c>
      <c r="C45" s="12">
        <v>2</v>
      </c>
      <c r="D45" s="13">
        <v>2</v>
      </c>
      <c r="E45" s="14" t="s">
        <v>55</v>
      </c>
    </row>
    <row r="46" spans="1:5">
      <c r="A46" s="4" t="s">
        <v>56</v>
      </c>
      <c r="B46" s="11" t="s">
        <v>11</v>
      </c>
      <c r="C46" s="12">
        <v>1</v>
      </c>
      <c r="D46" s="13">
        <v>1</v>
      </c>
      <c r="E46" s="14" t="s">
        <v>57</v>
      </c>
    </row>
    <row r="47" spans="1:5">
      <c r="A47" s="4" t="s">
        <v>10</v>
      </c>
      <c r="B47" s="11" t="s">
        <v>11</v>
      </c>
      <c r="C47" s="12">
        <v>0</v>
      </c>
      <c r="D47" s="13">
        <v>0</v>
      </c>
      <c r="E47" s="14" t="s">
        <v>58</v>
      </c>
    </row>
    <row r="48" spans="1:5">
      <c r="A48" s="4" t="s">
        <v>13</v>
      </c>
      <c r="B48" s="11" t="s">
        <v>11</v>
      </c>
      <c r="C48" s="12">
        <v>100</v>
      </c>
      <c r="D48" s="13">
        <v>100</v>
      </c>
      <c r="E48" s="14" t="s">
        <v>59</v>
      </c>
    </row>
    <row r="49" ht="14.5" spans="1:5">
      <c r="A49" s="15" t="s">
        <v>24</v>
      </c>
      <c r="C49" s="16" t="s">
        <v>60</v>
      </c>
      <c r="D49" s="17"/>
      <c r="E49" s="18"/>
    </row>
    <row r="50" ht="30" customHeight="1" spans="1:5">
      <c r="A50" s="15" t="s">
        <v>26</v>
      </c>
      <c r="C50" s="19" t="str">
        <f>"{"&amp;CHAR(34)&amp;"hitsToDetonate"&amp;CHAR(34)&amp;":"&amp;C43&amp;","&amp;CHAR(34)&amp;"maxTurns"&amp;CHAR(34)&amp;":"&amp;C44&amp;","&amp;CHAR(34)&amp;"tauntRange"&amp;CHAR(34)&amp;":"&amp;C45&amp;","&amp;CHAR(34)&amp;"explosionRadius"&amp;CHAR(34)&amp;":"&amp;C46&amp;","&amp;CHAR(34)&amp;"baseDamage"&amp;CHAR(34)&amp;":"&amp;C47&amp;","&amp;CHAR(34)&amp;"attackPercent"&amp;CHAR(34)&amp;":"&amp;C48&amp;"}"</f>
        <v>{"hitsToDetonate":3,"maxTurns":6,"tauntRange":2,"explosionRadius":1,"baseDamage":0,"attackPercent":100}</v>
      </c>
      <c r="D50" s="17"/>
      <c r="E50" s="18"/>
    </row>
    <row r="52" ht="16.5" spans="1:5">
      <c r="A52" s="3" t="s">
        <v>61</v>
      </c>
      <c r="B52" s="9"/>
      <c r="C52" s="9"/>
      <c r="D52" s="9"/>
      <c r="E52" s="10" t="s">
        <v>62</v>
      </c>
    </row>
    <row r="53" ht="14.5" spans="1:5">
      <c r="A53" s="7" t="s">
        <v>5</v>
      </c>
      <c r="B53" s="7" t="s">
        <v>6</v>
      </c>
      <c r="C53" s="7" t="s">
        <v>7</v>
      </c>
      <c r="D53" s="7" t="s">
        <v>8</v>
      </c>
      <c r="E53" s="7" t="s">
        <v>9</v>
      </c>
    </row>
    <row r="54" spans="1:5">
      <c r="A54" s="4" t="s">
        <v>63</v>
      </c>
      <c r="B54" s="11" t="s">
        <v>11</v>
      </c>
      <c r="C54" s="12">
        <v>2</v>
      </c>
      <c r="D54" s="13">
        <v>2</v>
      </c>
      <c r="E54" s="14" t="s">
        <v>64</v>
      </c>
    </row>
    <row r="55" spans="1:5">
      <c r="A55" s="4" t="s">
        <v>10</v>
      </c>
      <c r="B55" s="11" t="s">
        <v>11</v>
      </c>
      <c r="C55" s="12">
        <v>0</v>
      </c>
      <c r="D55" s="13">
        <v>0</v>
      </c>
      <c r="E55" s="14" t="s">
        <v>65</v>
      </c>
    </row>
    <row r="56" spans="1:5">
      <c r="A56" s="4" t="s">
        <v>13</v>
      </c>
      <c r="B56" s="11" t="s">
        <v>11</v>
      </c>
      <c r="C56" s="12">
        <v>50</v>
      </c>
      <c r="D56" s="13">
        <v>50</v>
      </c>
      <c r="E56" s="14" t="s">
        <v>66</v>
      </c>
    </row>
    <row r="57" ht="14.5" spans="1:5">
      <c r="A57" s="15" t="s">
        <v>24</v>
      </c>
      <c r="C57" s="16" t="s">
        <v>67</v>
      </c>
      <c r="D57" s="17"/>
      <c r="E57" s="18"/>
    </row>
    <row r="58" ht="30" customHeight="1" spans="1:5">
      <c r="A58" s="15" t="s">
        <v>26</v>
      </c>
      <c r="C58" s="19" t="str">
        <f>"{"&amp;CHAR(34)&amp;"radius"&amp;CHAR(34)&amp;":"&amp;C54&amp;","&amp;CHAR(34)&amp;"baseDamage"&amp;CHAR(34)&amp;":"&amp;C55&amp;","&amp;CHAR(34)&amp;"attackPercent"&amp;CHAR(34)&amp;":"&amp;C56&amp;"}"</f>
        <v>{"radius":2,"baseDamage":0,"attackPercent":50}</v>
      </c>
      <c r="D58" s="17"/>
      <c r="E58" s="18"/>
    </row>
    <row r="60" ht="16.5" spans="1:5">
      <c r="A60" s="3" t="s">
        <v>68</v>
      </c>
      <c r="B60" s="9"/>
      <c r="C60" s="9"/>
      <c r="D60" s="9"/>
      <c r="E60" s="10" t="s">
        <v>69</v>
      </c>
    </row>
    <row r="61" ht="14.5" spans="1:5">
      <c r="A61" s="7" t="s">
        <v>5</v>
      </c>
      <c r="B61" s="7" t="s">
        <v>6</v>
      </c>
      <c r="C61" s="7" t="s">
        <v>7</v>
      </c>
      <c r="D61" s="7" t="s">
        <v>8</v>
      </c>
      <c r="E61" s="7" t="s">
        <v>9</v>
      </c>
    </row>
    <row r="62" spans="1:5">
      <c r="A62" s="4" t="s">
        <v>70</v>
      </c>
      <c r="B62" s="11" t="s">
        <v>11</v>
      </c>
      <c r="C62" s="12">
        <v>4</v>
      </c>
      <c r="D62" s="13">
        <v>4</v>
      </c>
      <c r="E62" s="14" t="s">
        <v>71</v>
      </c>
    </row>
    <row r="63" spans="1:5">
      <c r="A63" s="4" t="s">
        <v>29</v>
      </c>
      <c r="B63" s="11" t="s">
        <v>11</v>
      </c>
      <c r="C63" s="12">
        <v>4</v>
      </c>
      <c r="D63" s="13">
        <v>4</v>
      </c>
      <c r="E63" s="14" t="s">
        <v>72</v>
      </c>
    </row>
    <row r="64" ht="14.5" spans="1:5">
      <c r="A64" s="15" t="s">
        <v>24</v>
      </c>
      <c r="C64" s="16" t="s">
        <v>73</v>
      </c>
      <c r="D64" s="17"/>
      <c r="E64" s="18"/>
    </row>
    <row r="65" ht="30" customHeight="1" spans="1:5">
      <c r="A65" s="15" t="s">
        <v>26</v>
      </c>
      <c r="C65" s="19" t="str">
        <f>"{"&amp;CHAR(34)&amp;"amount"&amp;CHAR(34)&amp;":"&amp;C62&amp;","&amp;CHAR(34)&amp;"duration"&amp;CHAR(34)&amp;":"&amp;C63&amp;"}"</f>
        <v>{"amount":4,"duration":4}</v>
      </c>
      <c r="D65" s="17"/>
      <c r="E65" s="18"/>
    </row>
    <row r="67" ht="16.5" spans="1:5">
      <c r="A67" s="3" t="s">
        <v>74</v>
      </c>
      <c r="B67" s="9"/>
      <c r="C67" s="9"/>
      <c r="D67" s="9"/>
      <c r="E67" s="10" t="s">
        <v>75</v>
      </c>
    </row>
    <row r="68" ht="14.5" spans="1:5">
      <c r="A68" s="7" t="s">
        <v>5</v>
      </c>
      <c r="B68" s="7" t="s">
        <v>6</v>
      </c>
      <c r="C68" s="7" t="s">
        <v>7</v>
      </c>
      <c r="D68" s="7" t="s">
        <v>8</v>
      </c>
      <c r="E68" s="7" t="s">
        <v>9</v>
      </c>
    </row>
    <row r="69" spans="1:5">
      <c r="A69" s="4" t="s">
        <v>63</v>
      </c>
      <c r="B69" s="11" t="s">
        <v>11</v>
      </c>
      <c r="C69" s="12">
        <v>3</v>
      </c>
      <c r="D69" s="13">
        <v>3</v>
      </c>
      <c r="E69" s="14" t="s">
        <v>76</v>
      </c>
    </row>
    <row r="70" spans="1:5">
      <c r="A70" s="4" t="s">
        <v>10</v>
      </c>
      <c r="B70" s="11" t="s">
        <v>11</v>
      </c>
      <c r="C70" s="12">
        <v>0</v>
      </c>
      <c r="D70" s="13">
        <v>0</v>
      </c>
      <c r="E70" s="14" t="s">
        <v>77</v>
      </c>
    </row>
    <row r="71" spans="1:5">
      <c r="A71" s="4" t="s">
        <v>13</v>
      </c>
      <c r="B71" s="11" t="s">
        <v>11</v>
      </c>
      <c r="C71" s="12">
        <v>30</v>
      </c>
      <c r="D71" s="13">
        <v>30</v>
      </c>
      <c r="E71" s="14" t="s">
        <v>66</v>
      </c>
    </row>
    <row r="72" ht="14.5" spans="1:5">
      <c r="A72" s="15" t="s">
        <v>24</v>
      </c>
      <c r="C72" s="16" t="s">
        <v>78</v>
      </c>
      <c r="D72" s="17"/>
      <c r="E72" s="18"/>
    </row>
    <row r="73" ht="30" customHeight="1" spans="1:5">
      <c r="A73" s="15" t="s">
        <v>26</v>
      </c>
      <c r="C73" s="19" t="str">
        <f>"{"&amp;CHAR(34)&amp;"radius"&amp;CHAR(34)&amp;":"&amp;C69&amp;","&amp;CHAR(34)&amp;"baseDamage"&amp;CHAR(34)&amp;":"&amp;C70&amp;","&amp;CHAR(34)&amp;"attackPercent"&amp;CHAR(34)&amp;":"&amp;C71&amp;"}"</f>
        <v>{"radius":3,"baseDamage":0,"attackPercent":30}</v>
      </c>
      <c r="D73" s="17"/>
      <c r="E73" s="18"/>
    </row>
    <row r="75" ht="16.5" spans="1:5">
      <c r="A75" s="3" t="s">
        <v>79</v>
      </c>
      <c r="B75" s="9"/>
      <c r="C75" s="9"/>
      <c r="D75" s="9"/>
      <c r="E75" s="10" t="s">
        <v>80</v>
      </c>
    </row>
    <row r="76" ht="14.5" spans="1:5">
      <c r="A76" s="7" t="s">
        <v>5</v>
      </c>
      <c r="B76" s="7" t="s">
        <v>6</v>
      </c>
      <c r="C76" s="7" t="s">
        <v>7</v>
      </c>
      <c r="D76" s="7" t="s">
        <v>8</v>
      </c>
      <c r="E76" s="7" t="s">
        <v>9</v>
      </c>
    </row>
    <row r="77" spans="1:5">
      <c r="A77" s="4" t="s">
        <v>81</v>
      </c>
      <c r="B77" s="11" t="s">
        <v>11</v>
      </c>
      <c r="C77" s="12">
        <v>10</v>
      </c>
      <c r="D77" s="13">
        <v>10</v>
      </c>
      <c r="E77" s="14" t="s">
        <v>82</v>
      </c>
    </row>
    <row r="78" ht="14.5" spans="1:5">
      <c r="A78" s="15" t="s">
        <v>24</v>
      </c>
      <c r="C78" s="16" t="s">
        <v>83</v>
      </c>
      <c r="D78" s="17"/>
      <c r="E78" s="18"/>
    </row>
    <row r="79" ht="30" customHeight="1" spans="1:5">
      <c r="A79" s="15" t="s">
        <v>26</v>
      </c>
      <c r="C79" s="19" t="str">
        <f>"{"&amp;CHAR(34)&amp;"energyGain"&amp;CHAR(34)&amp;":"&amp;C77&amp;"}"</f>
        <v>{"energyGain":10}</v>
      </c>
      <c r="D79" s="17"/>
      <c r="E79" s="18"/>
    </row>
    <row r="81" ht="16.5" spans="1:5">
      <c r="A81" s="3" t="s">
        <v>84</v>
      </c>
      <c r="B81" s="9"/>
      <c r="C81" s="9"/>
      <c r="D81" s="9"/>
      <c r="E81" s="10" t="s">
        <v>85</v>
      </c>
    </row>
    <row r="82" ht="14.5" spans="1:5">
      <c r="A82" s="7" t="s">
        <v>5</v>
      </c>
      <c r="B82" s="7" t="s">
        <v>6</v>
      </c>
      <c r="C82" s="7" t="s">
        <v>7</v>
      </c>
      <c r="D82" s="7" t="s">
        <v>8</v>
      </c>
      <c r="E82" s="7" t="s">
        <v>9</v>
      </c>
    </row>
    <row r="83" spans="1:5">
      <c r="A83" s="4" t="s">
        <v>10</v>
      </c>
      <c r="B83" s="11" t="s">
        <v>11</v>
      </c>
      <c r="C83" s="12">
        <v>0</v>
      </c>
      <c r="D83" s="13">
        <v>0</v>
      </c>
      <c r="E83" s="14" t="s">
        <v>86</v>
      </c>
    </row>
    <row r="84" spans="1:5">
      <c r="A84" s="4" t="s">
        <v>13</v>
      </c>
      <c r="B84" s="11" t="s">
        <v>11</v>
      </c>
      <c r="C84" s="12">
        <v>50</v>
      </c>
      <c r="D84" s="13">
        <v>50</v>
      </c>
      <c r="E84" s="14" t="s">
        <v>87</v>
      </c>
    </row>
    <row r="85" spans="1:5">
      <c r="A85" s="4" t="s">
        <v>88</v>
      </c>
      <c r="B85" s="11" t="s">
        <v>11</v>
      </c>
      <c r="C85" s="12">
        <v>5</v>
      </c>
      <c r="D85" s="13">
        <v>5</v>
      </c>
      <c r="E85" s="14" t="s">
        <v>89</v>
      </c>
    </row>
    <row r="86" ht="14.5" spans="1:5">
      <c r="A86" s="15" t="s">
        <v>24</v>
      </c>
      <c r="C86" s="16" t="s">
        <v>90</v>
      </c>
      <c r="D86" s="17"/>
      <c r="E86" s="18"/>
    </row>
    <row r="87" ht="30" customHeight="1" spans="1:5">
      <c r="A87" s="15" t="s">
        <v>26</v>
      </c>
      <c r="C87" s="19" t="str">
        <f>"{"&amp;CHAR(34)&amp;"baseDamage"&amp;CHAR(34)&amp;":"&amp;C83&amp;","&amp;CHAR(34)&amp;"attackPercent"&amp;CHAR(34)&amp;":"&amp;C84&amp;","&amp;CHAR(34)&amp;"energyPerAttack"&amp;CHAR(34)&amp;":"&amp;C85&amp;"}"</f>
        <v>{"baseDamage":0,"attackPercent":50,"energyPerAttack":5}</v>
      </c>
      <c r="D87" s="17"/>
      <c r="E87" s="18"/>
    </row>
  </sheetData>
  <mergeCells count="25">
    <mergeCell ref="A1:E1"/>
    <mergeCell ref="A2:E2"/>
    <mergeCell ref="A3:E3"/>
    <mergeCell ref="C12:E12"/>
    <mergeCell ref="C13:E13"/>
    <mergeCell ref="C18:E18"/>
    <mergeCell ref="C19:E19"/>
    <mergeCell ref="C26:E26"/>
    <mergeCell ref="C27:E27"/>
    <mergeCell ref="C32:E32"/>
    <mergeCell ref="C33:E33"/>
    <mergeCell ref="C38:E38"/>
    <mergeCell ref="C39:E39"/>
    <mergeCell ref="C49:E49"/>
    <mergeCell ref="C50:E50"/>
    <mergeCell ref="C57:E57"/>
    <mergeCell ref="C58:E58"/>
    <mergeCell ref="C64:E64"/>
    <mergeCell ref="C65:E65"/>
    <mergeCell ref="C72:E72"/>
    <mergeCell ref="C73:E73"/>
    <mergeCell ref="C78:E78"/>
    <mergeCell ref="C79:E79"/>
    <mergeCell ref="C86:E86"/>
    <mergeCell ref="C87:E8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topLeftCell="A20" workbookViewId="0">
      <selection activeCell="A1" sqref="A1:E1"/>
    </sheetView>
  </sheetViews>
  <sheetFormatPr defaultColWidth="9" defaultRowHeight="14" outlineLevelCol="4"/>
  <cols>
    <col min="1" max="1" width="22" customWidth="1"/>
    <col min="2" max="2" width="12" customWidth="1"/>
    <col min="3" max="3" width="18" customWidth="1"/>
    <col min="4" max="4" width="12" customWidth="1"/>
    <col min="5" max="5" width="103.909090909091" customWidth="1"/>
  </cols>
  <sheetData>
    <row r="1" ht="22.5" spans="1:5">
      <c r="A1" s="1" t="s">
        <v>91</v>
      </c>
    </row>
    <row r="2" ht="14.5" spans="1:5">
      <c r="A2" s="2" t="s">
        <v>1</v>
      </c>
    </row>
    <row r="3" ht="14.5" spans="1:5">
      <c r="A3" s="2" t="s">
        <v>92</v>
      </c>
    </row>
    <row r="5" ht="16.5" spans="1:5">
      <c r="A5" s="3" t="s">
        <v>93</v>
      </c>
      <c r="B5" s="9"/>
      <c r="C5" s="9"/>
      <c r="D5" s="9"/>
      <c r="E5" s="10" t="s">
        <v>94</v>
      </c>
    </row>
    <row r="6" ht="14.5" spans="1:5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</row>
    <row r="7" spans="1:5">
      <c r="A7" s="4" t="s">
        <v>95</v>
      </c>
      <c r="B7" s="11" t="s">
        <v>11</v>
      </c>
      <c r="C7" s="12">
        <v>6</v>
      </c>
      <c r="D7" s="13">
        <v>6</v>
      </c>
      <c r="E7" s="14" t="s">
        <v>96</v>
      </c>
    </row>
    <row r="8" spans="1:5">
      <c r="A8" s="4" t="s">
        <v>97</v>
      </c>
      <c r="B8" s="11" t="s">
        <v>11</v>
      </c>
      <c r="C8" s="12">
        <v>0</v>
      </c>
      <c r="D8" s="13">
        <v>0</v>
      </c>
      <c r="E8" s="14" t="s">
        <v>98</v>
      </c>
    </row>
    <row r="9" ht="14.5" spans="1:5">
      <c r="A9" s="15" t="s">
        <v>24</v>
      </c>
      <c r="C9" s="16" t="s">
        <v>99</v>
      </c>
      <c r="D9" s="17"/>
      <c r="E9" s="18"/>
    </row>
    <row r="10" ht="30" customHeight="1" spans="1:5">
      <c r="A10" s="15" t="s">
        <v>26</v>
      </c>
      <c r="C10" s="19" t="str">
        <f>"{"&amp;CHAR(34)&amp;"length"&amp;CHAR(34)&amp;":"&amp;C7&amp;","&amp;CHAR(34)&amp;"bonusDamage"&amp;CHAR(34)&amp;":"&amp;C8&amp;"}"</f>
        <v>{"length":6,"bonusDamage":0}</v>
      </c>
      <c r="D10" s="17"/>
      <c r="E10" s="18"/>
    </row>
    <row r="12" ht="16.5" spans="1:5">
      <c r="A12" s="3" t="s">
        <v>100</v>
      </c>
      <c r="B12" s="9"/>
      <c r="C12" s="9"/>
      <c r="D12" s="9"/>
      <c r="E12" s="10" t="s">
        <v>101</v>
      </c>
    </row>
    <row r="13" ht="14.5" spans="1:5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</row>
    <row r="14" spans="1:5">
      <c r="A14" s="4" t="s">
        <v>102</v>
      </c>
      <c r="B14" s="11" t="s">
        <v>11</v>
      </c>
      <c r="C14" s="12">
        <v>0</v>
      </c>
      <c r="D14" s="13">
        <v>0</v>
      </c>
      <c r="E14" s="14" t="s">
        <v>103</v>
      </c>
    </row>
    <row r="15" spans="1:5">
      <c r="A15" s="4" t="s">
        <v>104</v>
      </c>
      <c r="B15" s="11" t="s">
        <v>11</v>
      </c>
      <c r="C15" s="12">
        <v>0</v>
      </c>
      <c r="D15" s="13">
        <v>0</v>
      </c>
      <c r="E15" s="14" t="s">
        <v>105</v>
      </c>
    </row>
    <row r="16" spans="1:5">
      <c r="A16" s="4" t="s">
        <v>106</v>
      </c>
      <c r="B16" s="11" t="s">
        <v>11</v>
      </c>
      <c r="C16" s="12">
        <v>0</v>
      </c>
      <c r="D16" s="13">
        <v>0</v>
      </c>
      <c r="E16" s="14" t="s">
        <v>107</v>
      </c>
    </row>
    <row r="17" spans="1:5">
      <c r="A17" s="4" t="s">
        <v>108</v>
      </c>
      <c r="B17" s="11" t="s">
        <v>11</v>
      </c>
      <c r="C17" s="12">
        <v>50</v>
      </c>
      <c r="D17" s="13">
        <v>50</v>
      </c>
      <c r="E17" s="14" t="s">
        <v>109</v>
      </c>
    </row>
    <row r="18" spans="1:5">
      <c r="A18" s="4" t="s">
        <v>110</v>
      </c>
      <c r="B18" s="11" t="s">
        <v>21</v>
      </c>
      <c r="C18" s="12" t="s">
        <v>22</v>
      </c>
      <c r="D18" s="13" t="s">
        <v>22</v>
      </c>
      <c r="E18" s="14" t="s">
        <v>111</v>
      </c>
    </row>
    <row r="19" ht="14.5" spans="1:5">
      <c r="A19" s="15" t="s">
        <v>24</v>
      </c>
      <c r="C19" s="16" t="s">
        <v>112</v>
      </c>
      <c r="D19" s="17"/>
      <c r="E19" s="18"/>
    </row>
    <row r="20" ht="30" customHeight="1" spans="1:5">
      <c r="A20" s="15" t="s">
        <v>26</v>
      </c>
      <c r="C20" s="19" t="str">
        <f>"{"&amp;CHAR(34)&amp;"normalBonusDamage"&amp;CHAR(34)&amp;":"&amp;C14&amp;","&amp;CHAR(34)&amp;"empoweredBaseDamage"&amp;CHAR(34)&amp;":"&amp;C15&amp;","&amp;CHAR(34)&amp;"empoweredAttackPercent"&amp;CHAR(34)&amp;":"&amp;C16&amp;","&amp;CHAR(34)&amp;"empoweredEnergyCost"&amp;CHAR(34)&amp;":"&amp;C17&amp;","&amp;CHAR(34)&amp;"empoweredElemental"&amp;CHAR(34)&amp;":"&amp;C18&amp;"}"</f>
        <v>{"normalBonusDamage":0,"empoweredBaseDamage":0,"empoweredAttackPercent":0,"empoweredEnergyCost":50,"empoweredElemental":true}</v>
      </c>
      <c r="D20" s="17"/>
      <c r="E20" s="18"/>
    </row>
    <row r="22" ht="16.5" spans="1:5">
      <c r="A22" s="3" t="s">
        <v>113</v>
      </c>
      <c r="B22" s="9"/>
      <c r="C22" s="9"/>
      <c r="D22" s="9"/>
      <c r="E22" s="10" t="s">
        <v>114</v>
      </c>
    </row>
    <row r="23" ht="14.5" spans="1:5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</row>
    <row r="24" spans="1:5">
      <c r="A24" s="4" t="s">
        <v>115</v>
      </c>
      <c r="B24" s="11" t="s">
        <v>11</v>
      </c>
      <c r="C24" s="12">
        <v>10</v>
      </c>
      <c r="D24" s="13">
        <v>10</v>
      </c>
      <c r="E24" s="14" t="s">
        <v>116</v>
      </c>
    </row>
    <row r="25" ht="14.5" spans="1:5">
      <c r="A25" s="15" t="s">
        <v>24</v>
      </c>
      <c r="C25" s="16" t="s">
        <v>117</v>
      </c>
      <c r="D25" s="17"/>
      <c r="E25" s="18"/>
    </row>
    <row r="26" ht="30" customHeight="1" spans="1:5">
      <c r="A26" s="15" t="s">
        <v>26</v>
      </c>
      <c r="C26" s="19" t="str">
        <f>"{"&amp;CHAR(34)&amp;"healAmount"&amp;CHAR(34)&amp;":"&amp;C24&amp;"}"</f>
        <v>{"healAmount":10}</v>
      </c>
      <c r="D26" s="17"/>
      <c r="E26" s="18"/>
    </row>
    <row r="28" ht="16.5" spans="1:5">
      <c r="A28" s="3" t="s">
        <v>118</v>
      </c>
      <c r="B28" s="9"/>
      <c r="C28" s="9"/>
      <c r="D28" s="9"/>
      <c r="E28" s="10" t="s">
        <v>119</v>
      </c>
    </row>
    <row r="29" ht="14.5" spans="1:5">
      <c r="A29" s="7" t="s">
        <v>5</v>
      </c>
      <c r="B29" s="7" t="s">
        <v>6</v>
      </c>
      <c r="C29" s="7" t="s">
        <v>7</v>
      </c>
      <c r="D29" s="7" t="s">
        <v>8</v>
      </c>
      <c r="E29" s="7" t="s">
        <v>9</v>
      </c>
    </row>
    <row r="30" spans="1:5">
      <c r="A30" s="4" t="s">
        <v>63</v>
      </c>
      <c r="B30" s="11" t="s">
        <v>11</v>
      </c>
      <c r="C30" s="12">
        <v>5</v>
      </c>
      <c r="D30" s="13">
        <v>5</v>
      </c>
      <c r="E30" s="14" t="s">
        <v>120</v>
      </c>
    </row>
    <row r="31" spans="1:5">
      <c r="A31" s="4" t="s">
        <v>121</v>
      </c>
      <c r="B31" s="11" t="s">
        <v>11</v>
      </c>
      <c r="C31" s="12">
        <v>0</v>
      </c>
      <c r="D31" s="13">
        <v>0</v>
      </c>
      <c r="E31" s="14" t="s">
        <v>122</v>
      </c>
    </row>
    <row r="32" spans="1:5">
      <c r="A32" s="4" t="s">
        <v>29</v>
      </c>
      <c r="B32" s="11" t="s">
        <v>11</v>
      </c>
      <c r="C32" s="12">
        <v>4</v>
      </c>
      <c r="D32" s="13">
        <v>4</v>
      </c>
      <c r="E32" s="14" t="s">
        <v>123</v>
      </c>
    </row>
    <row r="33" ht="14.5" spans="1:5">
      <c r="A33" s="15" t="s">
        <v>24</v>
      </c>
      <c r="C33" s="16" t="s">
        <v>124</v>
      </c>
      <c r="D33" s="17"/>
      <c r="E33" s="18"/>
    </row>
    <row r="34" ht="30" customHeight="1" spans="1:5">
      <c r="A34" s="15" t="s">
        <v>26</v>
      </c>
      <c r="C34" s="19" t="str">
        <f>"{"&amp;CHAR(34)&amp;"radius"&amp;CHAR(34)&amp;":"&amp;C30&amp;","&amp;CHAR(34)&amp;"bonusAttack"&amp;CHAR(34)&amp;":"&amp;C31&amp;","&amp;CHAR(34)&amp;"duration"&amp;CHAR(34)&amp;":"&amp;C32&amp;"}"</f>
        <v>{"radius":5,"bonusAttack":0,"duration":4}</v>
      </c>
      <c r="D34" s="17"/>
      <c r="E34" s="18"/>
    </row>
    <row r="36" ht="16.5" spans="1:5">
      <c r="A36" s="3" t="s">
        <v>125</v>
      </c>
      <c r="B36" s="9"/>
      <c r="C36" s="9"/>
      <c r="D36" s="9"/>
      <c r="E36" s="10" t="s">
        <v>126</v>
      </c>
    </row>
    <row r="37" ht="14.5" spans="1:5">
      <c r="A37" s="7" t="s">
        <v>5</v>
      </c>
      <c r="B37" s="7" t="s">
        <v>6</v>
      </c>
      <c r="C37" s="7" t="s">
        <v>7</v>
      </c>
      <c r="D37" s="7" t="s">
        <v>8</v>
      </c>
      <c r="E37" s="7" t="s">
        <v>9</v>
      </c>
    </row>
    <row r="38" spans="1:5">
      <c r="A38" s="4" t="s">
        <v>127</v>
      </c>
      <c r="B38" s="11" t="s">
        <v>11</v>
      </c>
      <c r="C38" s="12">
        <v>0</v>
      </c>
      <c r="D38" s="13">
        <v>0</v>
      </c>
      <c r="E38" s="14" t="s">
        <v>128</v>
      </c>
    </row>
    <row r="39" spans="1:5">
      <c r="A39" s="4" t="s">
        <v>129</v>
      </c>
      <c r="B39" s="11" t="s">
        <v>11</v>
      </c>
      <c r="C39" s="12">
        <v>0</v>
      </c>
      <c r="D39" s="13">
        <v>0</v>
      </c>
      <c r="E39" s="14" t="s">
        <v>130</v>
      </c>
    </row>
    <row r="40" spans="1:5">
      <c r="A40" s="4" t="s">
        <v>131</v>
      </c>
      <c r="B40" s="11" t="s">
        <v>11</v>
      </c>
      <c r="C40" s="12">
        <v>0</v>
      </c>
      <c r="D40" s="13">
        <v>0</v>
      </c>
      <c r="E40" s="14" t="s">
        <v>132</v>
      </c>
    </row>
    <row r="41" ht="14.5" spans="1:5">
      <c r="A41" s="15" t="s">
        <v>24</v>
      </c>
      <c r="C41" s="16" t="s">
        <v>133</v>
      </c>
      <c r="D41" s="17"/>
      <c r="E41" s="18"/>
    </row>
    <row r="42" ht="30" customHeight="1" spans="1:5">
      <c r="A42" s="15" t="s">
        <v>26</v>
      </c>
      <c r="C42" s="19" t="str">
        <f>"{"&amp;CHAR(34)&amp;"physicalBonusDamage"&amp;CHAR(34)&amp;":"&amp;C38&amp;","&amp;CHAR(34)&amp;"magicBaseDamage"&amp;CHAR(34)&amp;":"&amp;C39&amp;","&amp;CHAR(34)&amp;"magicAttackPercent"&amp;CHAR(34)&amp;":"&amp;C40&amp;"}"</f>
        <v>{"physicalBonusDamage":0,"magicBaseDamage":0,"magicAttackPercent":0}</v>
      </c>
      <c r="D42" s="17"/>
      <c r="E42" s="18"/>
    </row>
    <row r="44" ht="16.5" spans="1:5">
      <c r="A44" s="3" t="s">
        <v>134</v>
      </c>
      <c r="B44" s="9"/>
      <c r="C44" s="9"/>
      <c r="D44" s="9"/>
      <c r="E44" s="10" t="s">
        <v>135</v>
      </c>
    </row>
    <row r="45" ht="14.5" spans="1:5">
      <c r="A45" s="7" t="s">
        <v>5</v>
      </c>
      <c r="B45" s="7" t="s">
        <v>6</v>
      </c>
      <c r="C45" s="7" t="s">
        <v>7</v>
      </c>
      <c r="D45" s="7" t="s">
        <v>8</v>
      </c>
      <c r="E45" s="7" t="s">
        <v>9</v>
      </c>
    </row>
    <row r="46" spans="1:5">
      <c r="A46" s="4" t="s">
        <v>136</v>
      </c>
      <c r="B46" s="11" t="s">
        <v>11</v>
      </c>
      <c r="C46" s="12">
        <v>14</v>
      </c>
      <c r="D46" s="13">
        <v>14</v>
      </c>
      <c r="E46" s="14" t="s">
        <v>137</v>
      </c>
    </row>
    <row r="47" ht="14.5" spans="1:5">
      <c r="A47" s="15" t="s">
        <v>24</v>
      </c>
      <c r="C47" s="16" t="s">
        <v>138</v>
      </c>
      <c r="D47" s="17"/>
      <c r="E47" s="18"/>
    </row>
    <row r="48" ht="30" customHeight="1" spans="1:5">
      <c r="A48" s="15" t="s">
        <v>26</v>
      </c>
      <c r="C48" s="19" t="str">
        <f>"{"&amp;CHAR(34)&amp;"puppetPieceId"&amp;CHAR(34)&amp;":"&amp;C46&amp;"}"</f>
        <v>{"puppetPieceId":14}</v>
      </c>
      <c r="D48" s="17"/>
      <c r="E48" s="18"/>
    </row>
    <row r="50" ht="16.5" spans="1:5">
      <c r="A50" s="3" t="s">
        <v>139</v>
      </c>
      <c r="B50" s="9"/>
      <c r="C50" s="9"/>
      <c r="D50" s="9"/>
      <c r="E50" s="10" t="s">
        <v>140</v>
      </c>
    </row>
    <row r="51" ht="14.5" spans="1:5">
      <c r="A51" s="7" t="s">
        <v>5</v>
      </c>
      <c r="B51" s="7" t="s">
        <v>6</v>
      </c>
      <c r="C51" s="7" t="s">
        <v>7</v>
      </c>
      <c r="D51" s="7" t="s">
        <v>8</v>
      </c>
      <c r="E51" s="7" t="s">
        <v>9</v>
      </c>
    </row>
    <row r="52" spans="1:5">
      <c r="A52" s="4" t="s">
        <v>63</v>
      </c>
      <c r="B52" s="11" t="s">
        <v>11</v>
      </c>
      <c r="C52" s="12">
        <v>2</v>
      </c>
      <c r="D52" s="13">
        <v>2</v>
      </c>
      <c r="E52" s="14" t="s">
        <v>141</v>
      </c>
    </row>
    <row r="53" spans="1:5">
      <c r="A53" s="4" t="s">
        <v>29</v>
      </c>
      <c r="B53" s="11" t="s">
        <v>11</v>
      </c>
      <c r="C53" s="12">
        <v>4</v>
      </c>
      <c r="D53" s="13">
        <v>4</v>
      </c>
      <c r="E53" s="14" t="s">
        <v>142</v>
      </c>
    </row>
    <row r="54" spans="1:5">
      <c r="A54" s="4" t="s">
        <v>45</v>
      </c>
      <c r="B54" s="11" t="s">
        <v>11</v>
      </c>
      <c r="C54" s="12">
        <v>50</v>
      </c>
      <c r="D54" s="13">
        <v>50</v>
      </c>
      <c r="E54" s="14" t="s">
        <v>143</v>
      </c>
    </row>
    <row r="55" ht="14.5" spans="1:5">
      <c r="A55" s="15" t="s">
        <v>24</v>
      </c>
      <c r="C55" s="16" t="s">
        <v>144</v>
      </c>
      <c r="D55" s="17"/>
      <c r="E55" s="18"/>
    </row>
    <row r="56" ht="30" customHeight="1" spans="1:5">
      <c r="A56" s="15" t="s">
        <v>26</v>
      </c>
      <c r="C56" s="19" t="str">
        <f>"{"&amp;CHAR(34)&amp;"radius"&amp;CHAR(34)&amp;":"&amp;C52&amp;","&amp;CHAR(34)&amp;"duration"&amp;CHAR(34)&amp;":"&amp;C53&amp;","&amp;CHAR(34)&amp;"percent"&amp;CHAR(34)&amp;":"&amp;C54&amp;"}"</f>
        <v>{"radius":2,"duration":4,"percent":50}</v>
      </c>
      <c r="D56" s="17"/>
      <c r="E56" s="18"/>
    </row>
    <row r="58" ht="16.5" spans="1:5">
      <c r="A58" s="3" t="s">
        <v>145</v>
      </c>
      <c r="B58" s="9"/>
      <c r="C58" s="9"/>
      <c r="D58" s="9"/>
      <c r="E58" s="10" t="s">
        <v>146</v>
      </c>
    </row>
    <row r="59" ht="14.5" spans="1:5">
      <c r="A59" s="7" t="s">
        <v>5</v>
      </c>
      <c r="B59" s="7" t="s">
        <v>6</v>
      </c>
      <c r="C59" s="7" t="s">
        <v>7</v>
      </c>
      <c r="D59" s="7" t="s">
        <v>8</v>
      </c>
      <c r="E59" s="7" t="s">
        <v>9</v>
      </c>
    </row>
    <row r="60" spans="1:5">
      <c r="A60" s="4" t="s">
        <v>63</v>
      </c>
      <c r="B60" s="11" t="s">
        <v>11</v>
      </c>
      <c r="C60" s="12">
        <v>1</v>
      </c>
      <c r="D60" s="13">
        <v>1</v>
      </c>
      <c r="E60" s="14" t="s">
        <v>147</v>
      </c>
    </row>
    <row r="61" spans="1:5">
      <c r="A61" s="4" t="s">
        <v>13</v>
      </c>
      <c r="B61" s="11" t="s">
        <v>11</v>
      </c>
      <c r="C61" s="12">
        <v>100</v>
      </c>
      <c r="D61" s="13">
        <v>100</v>
      </c>
      <c r="E61" s="14" t="s">
        <v>148</v>
      </c>
    </row>
    <row r="62" spans="1:5">
      <c r="A62" s="4" t="s">
        <v>115</v>
      </c>
      <c r="B62" s="11" t="s">
        <v>11</v>
      </c>
      <c r="C62" s="12">
        <v>10</v>
      </c>
      <c r="D62" s="13">
        <v>10</v>
      </c>
      <c r="E62" s="14" t="s">
        <v>149</v>
      </c>
    </row>
    <row r="63" spans="1:5">
      <c r="A63" s="4" t="s">
        <v>150</v>
      </c>
      <c r="B63" s="11" t="s">
        <v>11</v>
      </c>
      <c r="C63" s="12">
        <v>4</v>
      </c>
      <c r="D63" s="13">
        <v>4</v>
      </c>
      <c r="E63" s="14" t="s">
        <v>151</v>
      </c>
    </row>
    <row r="64" ht="14.5" spans="1:5">
      <c r="A64" s="15" t="s">
        <v>24</v>
      </c>
      <c r="C64" s="16" t="s">
        <v>152</v>
      </c>
      <c r="D64" s="17"/>
      <c r="E64" s="18"/>
    </row>
    <row r="65" ht="30" customHeight="1" spans="1:5">
      <c r="A65" s="15" t="s">
        <v>26</v>
      </c>
      <c r="C65" s="19" t="str">
        <f>"{"&amp;CHAR(34)&amp;"radius"&amp;CHAR(34)&amp;":"&amp;C60&amp;","&amp;CHAR(34)&amp;"attackPercent"&amp;CHAR(34)&amp;":"&amp;C61&amp;","&amp;CHAR(34)&amp;"healAmount"&amp;CHAR(34)&amp;":"&amp;C62&amp;","&amp;CHAR(34)&amp;"stormTurns"&amp;CHAR(34)&amp;":"&amp;C63&amp;"}"</f>
        <v>{"radius":1,"attackPercent":100,"healAmount":10,"stormTurns":4}</v>
      </c>
      <c r="D65" s="17"/>
      <c r="E65" s="18"/>
    </row>
    <row r="67" ht="16.5" spans="1:5">
      <c r="A67" s="3" t="s">
        <v>153</v>
      </c>
      <c r="B67" s="9"/>
      <c r="C67" s="9"/>
      <c r="D67" s="9"/>
      <c r="E67" s="10" t="s">
        <v>154</v>
      </c>
    </row>
    <row r="68" ht="14.5" spans="1:5">
      <c r="A68" s="7" t="s">
        <v>5</v>
      </c>
      <c r="B68" s="7" t="s">
        <v>6</v>
      </c>
      <c r="C68" s="7" t="s">
        <v>7</v>
      </c>
      <c r="D68" s="7" t="s">
        <v>8</v>
      </c>
      <c r="E68" s="7" t="s">
        <v>9</v>
      </c>
    </row>
    <row r="69" spans="1:5">
      <c r="A69" s="4" t="s">
        <v>13</v>
      </c>
      <c r="B69" s="11" t="s">
        <v>11</v>
      </c>
      <c r="C69" s="12">
        <v>100</v>
      </c>
      <c r="D69" s="13">
        <v>100</v>
      </c>
      <c r="E69" s="14" t="s">
        <v>155</v>
      </c>
    </row>
    <row r="70" spans="1:5">
      <c r="A70" s="4" t="s">
        <v>156</v>
      </c>
      <c r="B70" s="11" t="s">
        <v>11</v>
      </c>
      <c r="C70" s="12">
        <v>6</v>
      </c>
      <c r="D70" s="13">
        <v>6</v>
      </c>
      <c r="E70" s="14" t="s">
        <v>157</v>
      </c>
    </row>
    <row r="71" ht="14.5" spans="1:5">
      <c r="A71" s="15" t="s">
        <v>24</v>
      </c>
      <c r="C71" s="16" t="s">
        <v>158</v>
      </c>
      <c r="D71" s="17"/>
      <c r="E71" s="18"/>
    </row>
    <row r="72" ht="30" customHeight="1" spans="1:5">
      <c r="A72" s="15" t="s">
        <v>26</v>
      </c>
      <c r="C72" s="19" t="str">
        <f>"{"&amp;CHAR(34)&amp;"attackPercent"&amp;CHAR(34)&amp;":"&amp;C69&amp;","&amp;CHAR(34)&amp;"synergyTurns"&amp;CHAR(34)&amp;":"&amp;C70&amp;"}"</f>
        <v>{"attackPercent":100,"synergyTurns":6}</v>
      </c>
      <c r="D72" s="17"/>
      <c r="E72" s="18"/>
    </row>
  </sheetData>
  <mergeCells count="21">
    <mergeCell ref="A1:E1"/>
    <mergeCell ref="A2:E2"/>
    <mergeCell ref="A3:E3"/>
    <mergeCell ref="C9:E9"/>
    <mergeCell ref="C10:E10"/>
    <mergeCell ref="C19:E19"/>
    <mergeCell ref="C20:E20"/>
    <mergeCell ref="C25:E25"/>
    <mergeCell ref="C26:E26"/>
    <mergeCell ref="C33:E33"/>
    <mergeCell ref="C34:E34"/>
    <mergeCell ref="C41:E41"/>
    <mergeCell ref="C42:E42"/>
    <mergeCell ref="C47:E47"/>
    <mergeCell ref="C48:E48"/>
    <mergeCell ref="C55:E55"/>
    <mergeCell ref="C56:E56"/>
    <mergeCell ref="C64:E64"/>
    <mergeCell ref="C65:E65"/>
    <mergeCell ref="C71:E71"/>
    <mergeCell ref="C72:E7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6" customWidth="1"/>
    <col min="2" max="2" width="24" customWidth="1"/>
    <col min="3" max="3" width="46" customWidth="1"/>
    <col min="4" max="4" width="12" customWidth="1"/>
    <col min="5" max="5" width="26" customWidth="1"/>
  </cols>
  <sheetData>
    <row r="1" ht="22.5" spans="1:5">
      <c r="A1" s="1" t="s">
        <v>159</v>
      </c>
    </row>
    <row r="2" ht="14.5" spans="1:5">
      <c r="A2" s="2" t="s">
        <v>160</v>
      </c>
    </row>
    <row r="3" ht="14.5" spans="1:5">
      <c r="A3" s="7" t="s">
        <v>161</v>
      </c>
      <c r="B3" s="7" t="s">
        <v>162</v>
      </c>
      <c r="C3" s="7" t="s">
        <v>163</v>
      </c>
      <c r="D3" s="7" t="s">
        <v>164</v>
      </c>
      <c r="E3" s="7" t="s">
        <v>9</v>
      </c>
    </row>
    <row r="4" ht="14.5" spans="1:5">
      <c r="A4" s="8" t="s">
        <v>165</v>
      </c>
      <c r="B4" s="8" t="s">
        <v>166</v>
      </c>
      <c r="C4" s="5" t="s">
        <v>167</v>
      </c>
      <c r="D4" s="8">
        <v>3</v>
      </c>
      <c r="E4" s="5" t="s">
        <v>168</v>
      </c>
    </row>
    <row r="5" ht="14.5" spans="1:5">
      <c r="A5" s="8" t="s">
        <v>169</v>
      </c>
      <c r="B5" s="8" t="s">
        <v>166</v>
      </c>
      <c r="C5" s="5" t="s">
        <v>167</v>
      </c>
      <c r="D5" s="8">
        <v>4</v>
      </c>
      <c r="E5" s="5" t="s">
        <v>168</v>
      </c>
    </row>
    <row r="6" ht="14.5" spans="1:5">
      <c r="A6" s="8" t="s">
        <v>170</v>
      </c>
      <c r="B6" s="8" t="s">
        <v>171</v>
      </c>
      <c r="C6" s="5" t="s">
        <v>167</v>
      </c>
      <c r="D6" s="8">
        <v>4</v>
      </c>
      <c r="E6" s="5" t="s">
        <v>172</v>
      </c>
    </row>
    <row r="7" ht="14.5" spans="1:5">
      <c r="A7" s="8" t="s">
        <v>173</v>
      </c>
      <c r="B7" s="8" t="s">
        <v>174</v>
      </c>
      <c r="C7" s="5" t="s">
        <v>167</v>
      </c>
      <c r="D7" s="8">
        <v>4</v>
      </c>
      <c r="E7" s="5" t="s">
        <v>175</v>
      </c>
    </row>
    <row r="8" ht="14.5" spans="1:5">
      <c r="A8" s="8" t="s">
        <v>176</v>
      </c>
      <c r="B8" s="8" t="s">
        <v>166</v>
      </c>
      <c r="C8" s="5" t="s">
        <v>167</v>
      </c>
      <c r="D8" s="8">
        <v>3</v>
      </c>
      <c r="E8" s="5" t="s">
        <v>168</v>
      </c>
    </row>
    <row r="9" ht="14.5" spans="1:5">
      <c r="A9" s="8" t="s">
        <v>177</v>
      </c>
      <c r="B9" s="8" t="s">
        <v>166</v>
      </c>
      <c r="C9" s="5" t="s">
        <v>167</v>
      </c>
      <c r="D9" s="8">
        <v>3</v>
      </c>
      <c r="E9" s="5" t="s">
        <v>168</v>
      </c>
    </row>
    <row r="10" ht="14.5" spans="1:5">
      <c r="A10" s="8" t="s">
        <v>178</v>
      </c>
      <c r="B10" s="8" t="s">
        <v>166</v>
      </c>
      <c r="C10" s="5" t="s">
        <v>167</v>
      </c>
      <c r="D10" s="8">
        <v>0</v>
      </c>
      <c r="E10" s="5" t="s">
        <v>179</v>
      </c>
    </row>
    <row r="11" ht="14.5" spans="1:5">
      <c r="A11" s="8" t="s">
        <v>180</v>
      </c>
      <c r="B11" s="8" t="s">
        <v>181</v>
      </c>
      <c r="C11" s="5" t="s">
        <v>167</v>
      </c>
      <c r="D11" s="8">
        <v>3</v>
      </c>
      <c r="E11" s="5" t="s">
        <v>182</v>
      </c>
    </row>
    <row r="12" ht="14.5" spans="1:5">
      <c r="A12" s="8" t="s">
        <v>183</v>
      </c>
      <c r="B12" s="8" t="s">
        <v>166</v>
      </c>
      <c r="C12" s="5" t="s">
        <v>167</v>
      </c>
      <c r="D12" s="8">
        <v>3</v>
      </c>
      <c r="E12" s="5" t="s">
        <v>168</v>
      </c>
    </row>
    <row r="13" ht="14.5" spans="1:5">
      <c r="A13" s="8" t="s">
        <v>184</v>
      </c>
      <c r="B13" s="8" t="s">
        <v>166</v>
      </c>
      <c r="C13" s="5" t="s">
        <v>167</v>
      </c>
      <c r="D13" s="8">
        <v>3</v>
      </c>
      <c r="E13" s="5" t="s">
        <v>168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6" customWidth="1"/>
    <col min="2" max="2" width="24" customWidth="1"/>
    <col min="3" max="3" width="46" customWidth="1"/>
    <col min="4" max="4" width="12" customWidth="1"/>
    <col min="5" max="5" width="26" customWidth="1"/>
  </cols>
  <sheetData>
    <row r="1" ht="22.5" spans="1:5">
      <c r="A1" s="1" t="s">
        <v>185</v>
      </c>
    </row>
    <row r="2" ht="14.5" spans="1:5">
      <c r="A2" s="2" t="s">
        <v>186</v>
      </c>
    </row>
    <row r="3" ht="14.5" spans="1:5">
      <c r="A3" s="7" t="s">
        <v>161</v>
      </c>
      <c r="B3" s="7" t="s">
        <v>162</v>
      </c>
      <c r="C3" s="7" t="s">
        <v>163</v>
      </c>
      <c r="D3" s="7" t="s">
        <v>164</v>
      </c>
      <c r="E3" s="7" t="s">
        <v>9</v>
      </c>
    </row>
    <row r="4" ht="14.5" spans="1:5">
      <c r="A4" s="8" t="s">
        <v>165</v>
      </c>
      <c r="B4" s="8" t="s">
        <v>187</v>
      </c>
      <c r="C4" s="5" t="s">
        <v>167</v>
      </c>
      <c r="D4" s="8">
        <v>3</v>
      </c>
      <c r="E4" s="5" t="s">
        <v>188</v>
      </c>
    </row>
    <row r="5" ht="14.5" spans="1:5">
      <c r="A5" s="8" t="s">
        <v>169</v>
      </c>
      <c r="B5" s="8" t="s">
        <v>189</v>
      </c>
      <c r="C5" s="5" t="s">
        <v>167</v>
      </c>
      <c r="D5" s="8">
        <v>2</v>
      </c>
      <c r="E5" s="5" t="s">
        <v>190</v>
      </c>
    </row>
    <row r="6" ht="14.5" spans="1:5">
      <c r="A6" s="8" t="s">
        <v>170</v>
      </c>
      <c r="B6" s="8" t="s">
        <v>189</v>
      </c>
      <c r="C6" s="5" t="s">
        <v>167</v>
      </c>
      <c r="D6" s="8">
        <v>1</v>
      </c>
      <c r="E6" s="5" t="s">
        <v>190</v>
      </c>
    </row>
    <row r="7" ht="43.5" spans="1:5">
      <c r="A7" s="8" t="s">
        <v>173</v>
      </c>
      <c r="B7" s="8" t="s">
        <v>191</v>
      </c>
      <c r="C7" s="5" t="s">
        <v>192</v>
      </c>
      <c r="D7" s="8">
        <v>2</v>
      </c>
      <c r="E7" s="5" t="s">
        <v>193</v>
      </c>
    </row>
    <row r="8" ht="14.5" spans="1:5">
      <c r="A8" s="8" t="s">
        <v>176</v>
      </c>
      <c r="B8" s="8" t="s">
        <v>189</v>
      </c>
      <c r="C8" s="5" t="s">
        <v>167</v>
      </c>
      <c r="D8" s="8">
        <v>4</v>
      </c>
      <c r="E8" s="5" t="s">
        <v>194</v>
      </c>
    </row>
    <row r="9" ht="14.5" spans="1:5">
      <c r="A9" s="8" t="s">
        <v>177</v>
      </c>
      <c r="B9" s="8" t="s">
        <v>189</v>
      </c>
      <c r="C9" s="5" t="s">
        <v>167</v>
      </c>
      <c r="D9" s="8">
        <v>4</v>
      </c>
      <c r="E9" s="5" t="s">
        <v>195</v>
      </c>
    </row>
    <row r="10" ht="14.5" spans="1:5">
      <c r="A10" s="8" t="s">
        <v>178</v>
      </c>
      <c r="B10" s="8" t="s">
        <v>189</v>
      </c>
      <c r="C10" s="5" t="s">
        <v>167</v>
      </c>
      <c r="D10" s="8">
        <v>1</v>
      </c>
      <c r="E10" s="5" t="s">
        <v>196</v>
      </c>
    </row>
    <row r="11" ht="14.5" spans="1:5">
      <c r="A11" s="8" t="s">
        <v>180</v>
      </c>
      <c r="B11" s="8" t="s">
        <v>189</v>
      </c>
      <c r="C11" s="5" t="s">
        <v>167</v>
      </c>
      <c r="D11" s="8">
        <v>4</v>
      </c>
      <c r="E11" s="5" t="s">
        <v>195</v>
      </c>
    </row>
    <row r="12" ht="14.5" spans="1:5">
      <c r="A12" s="8" t="s">
        <v>183</v>
      </c>
      <c r="B12" s="8" t="s">
        <v>189</v>
      </c>
      <c r="C12" s="5" t="s">
        <v>167</v>
      </c>
      <c r="D12" s="8">
        <v>3</v>
      </c>
      <c r="E12" s="5" t="s">
        <v>190</v>
      </c>
    </row>
    <row r="13" ht="14.5" spans="1:5">
      <c r="A13" s="8" t="s">
        <v>184</v>
      </c>
      <c r="B13" s="8" t="s">
        <v>189</v>
      </c>
      <c r="C13" s="5" t="s">
        <v>167</v>
      </c>
      <c r="D13" s="8">
        <v>3</v>
      </c>
      <c r="E13" s="5" t="s">
        <v>190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26" customWidth="1"/>
    <col min="2" max="2" width="18" customWidth="1"/>
    <col min="3" max="3" width="10" customWidth="1"/>
    <col min="4" max="5" width="46" customWidth="1"/>
  </cols>
  <sheetData>
    <row r="1" ht="22.5" spans="1:5">
      <c r="A1" s="1" t="s">
        <v>197</v>
      </c>
    </row>
    <row r="2" ht="14.5" spans="1:5">
      <c r="A2" s="7" t="s">
        <v>198</v>
      </c>
      <c r="B2" s="7" t="s">
        <v>199</v>
      </c>
      <c r="C2" s="7" t="s">
        <v>6</v>
      </c>
      <c r="D2" s="7" t="s">
        <v>5</v>
      </c>
      <c r="E2" s="7" t="s">
        <v>9</v>
      </c>
    </row>
    <row r="3" ht="29" spans="1:5">
      <c r="A3" s="5" t="s">
        <v>200</v>
      </c>
      <c r="B3" s="5" t="s">
        <v>201</v>
      </c>
      <c r="C3" s="8" t="s">
        <v>202</v>
      </c>
      <c r="D3" s="5" t="s">
        <v>203</v>
      </c>
      <c r="E3" s="5" t="s">
        <v>204</v>
      </c>
    </row>
    <row r="4" ht="14.5" spans="1:5">
      <c r="A4" s="5" t="s">
        <v>205</v>
      </c>
      <c r="B4" s="5" t="s">
        <v>206</v>
      </c>
      <c r="C4" s="8" t="s">
        <v>202</v>
      </c>
      <c r="D4" s="5" t="s">
        <v>207</v>
      </c>
      <c r="E4" s="5" t="s">
        <v>208</v>
      </c>
    </row>
    <row r="5" ht="14.5" spans="1:5">
      <c r="A5" s="5" t="s">
        <v>209</v>
      </c>
      <c r="B5" s="5" t="s">
        <v>210</v>
      </c>
      <c r="C5" s="8" t="s">
        <v>202</v>
      </c>
      <c r="D5" s="5" t="s">
        <v>211</v>
      </c>
      <c r="E5" s="5" t="s">
        <v>212</v>
      </c>
    </row>
    <row r="6" ht="14.5" spans="1:5">
      <c r="A6" s="5" t="s">
        <v>213</v>
      </c>
      <c r="B6" s="5" t="s">
        <v>214</v>
      </c>
      <c r="C6" s="8" t="s">
        <v>202</v>
      </c>
      <c r="D6" s="5" t="s">
        <v>215</v>
      </c>
      <c r="E6" s="5" t="s">
        <v>216</v>
      </c>
    </row>
    <row r="7" ht="14.5" spans="1:5">
      <c r="A7" s="5" t="s">
        <v>217</v>
      </c>
      <c r="B7" s="5" t="s">
        <v>218</v>
      </c>
      <c r="C7" s="8" t="s">
        <v>202</v>
      </c>
      <c r="D7" s="5" t="s">
        <v>219</v>
      </c>
      <c r="E7" s="5" t="s">
        <v>220</v>
      </c>
    </row>
    <row r="8" ht="29" spans="1:5">
      <c r="A8" s="5" t="s">
        <v>221</v>
      </c>
      <c r="B8" s="5" t="s">
        <v>222</v>
      </c>
      <c r="C8" s="8" t="s">
        <v>202</v>
      </c>
      <c r="D8" s="5" t="s">
        <v>223</v>
      </c>
      <c r="E8" s="5" t="s">
        <v>224</v>
      </c>
    </row>
    <row r="9" ht="14.5" spans="1:5">
      <c r="A9" s="5" t="s">
        <v>225</v>
      </c>
      <c r="B9" s="5" t="s">
        <v>226</v>
      </c>
      <c r="C9" s="8" t="s">
        <v>202</v>
      </c>
      <c r="D9" s="5" t="s">
        <v>227</v>
      </c>
      <c r="E9" s="5" t="s">
        <v>228</v>
      </c>
    </row>
    <row r="10" ht="14.5" spans="1:5">
      <c r="A10" s="5" t="s">
        <v>229</v>
      </c>
      <c r="B10" s="5" t="s">
        <v>230</v>
      </c>
      <c r="C10" s="8" t="s">
        <v>202</v>
      </c>
      <c r="D10" s="5" t="s">
        <v>231</v>
      </c>
      <c r="E10" s="5" t="s">
        <v>232</v>
      </c>
    </row>
    <row r="11" ht="14.5" spans="1:5">
      <c r="A11" s="5" t="s">
        <v>233</v>
      </c>
      <c r="B11" s="5" t="s">
        <v>234</v>
      </c>
      <c r="C11" s="8" t="s">
        <v>202</v>
      </c>
      <c r="D11" s="5" t="s">
        <v>227</v>
      </c>
      <c r="E11" s="5" t="s">
        <v>235</v>
      </c>
    </row>
    <row r="12" ht="14.5" spans="1:5">
      <c r="A12" s="5" t="s">
        <v>236</v>
      </c>
      <c r="B12" s="5" t="s">
        <v>237</v>
      </c>
      <c r="C12" s="8" t="s">
        <v>202</v>
      </c>
      <c r="D12" s="5" t="s">
        <v>238</v>
      </c>
      <c r="E12" s="5" t="s">
        <v>239</v>
      </c>
    </row>
    <row r="13" ht="14.5" spans="1:5">
      <c r="A13" s="5" t="s">
        <v>240</v>
      </c>
      <c r="B13" s="5" t="s">
        <v>241</v>
      </c>
      <c r="C13" s="8" t="s">
        <v>202</v>
      </c>
      <c r="D13" s="5" t="s">
        <v>242</v>
      </c>
      <c r="E13" s="5" t="s">
        <v>243</v>
      </c>
    </row>
    <row r="14" ht="14.5" spans="1:5">
      <c r="A14" s="5" t="s">
        <v>244</v>
      </c>
      <c r="B14" s="5" t="s">
        <v>245</v>
      </c>
      <c r="C14" s="8" t="s">
        <v>246</v>
      </c>
      <c r="D14" s="5" t="s">
        <v>247</v>
      </c>
      <c r="E14" s="5" t="s">
        <v>248</v>
      </c>
    </row>
    <row r="15" ht="43.5" spans="1:5">
      <c r="A15" s="5" t="s">
        <v>249</v>
      </c>
      <c r="B15" s="5" t="s">
        <v>250</v>
      </c>
      <c r="C15" s="8" t="s">
        <v>246</v>
      </c>
      <c r="D15" s="5" t="s">
        <v>251</v>
      </c>
      <c r="E15" s="5" t="s">
        <v>252</v>
      </c>
    </row>
    <row r="16" ht="14.5" spans="1:5">
      <c r="A16" s="5" t="s">
        <v>253</v>
      </c>
      <c r="B16" s="5" t="s">
        <v>254</v>
      </c>
      <c r="C16" s="8" t="s">
        <v>246</v>
      </c>
      <c r="D16" s="5" t="s">
        <v>255</v>
      </c>
      <c r="E16" s="5" t="s">
        <v>256</v>
      </c>
    </row>
    <row r="17" ht="14.5" spans="1:5">
      <c r="A17" s="5" t="s">
        <v>257</v>
      </c>
      <c r="B17" s="5" t="s">
        <v>258</v>
      </c>
      <c r="C17" s="8" t="s">
        <v>246</v>
      </c>
      <c r="D17" s="5" t="s">
        <v>259</v>
      </c>
      <c r="E17" s="5" t="s">
        <v>260</v>
      </c>
    </row>
    <row r="18" ht="29" spans="1:5">
      <c r="A18" s="5" t="s">
        <v>261</v>
      </c>
      <c r="B18" s="5" t="s">
        <v>262</v>
      </c>
      <c r="C18" s="8" t="s">
        <v>246</v>
      </c>
      <c r="D18" s="5" t="s">
        <v>263</v>
      </c>
      <c r="E18" s="5" t="s">
        <v>264</v>
      </c>
    </row>
    <row r="19" ht="14.5" spans="1:5">
      <c r="A19" s="5" t="s">
        <v>265</v>
      </c>
      <c r="B19" s="5" t="s">
        <v>266</v>
      </c>
      <c r="C19" s="8" t="s">
        <v>246</v>
      </c>
      <c r="D19" s="5" t="s">
        <v>267</v>
      </c>
      <c r="E19" s="5" t="s">
        <v>268</v>
      </c>
    </row>
    <row r="20" ht="14.5" spans="1:5">
      <c r="A20" s="5" t="s">
        <v>269</v>
      </c>
      <c r="B20" s="5" t="s">
        <v>270</v>
      </c>
      <c r="C20" s="8" t="s">
        <v>246</v>
      </c>
      <c r="D20" s="5" t="s">
        <v>271</v>
      </c>
      <c r="E20" s="5" t="s">
        <v>272</v>
      </c>
    </row>
    <row r="21" ht="14.5" spans="1:5">
      <c r="A21" s="5" t="s">
        <v>273</v>
      </c>
      <c r="B21" s="5" t="s">
        <v>274</v>
      </c>
      <c r="C21" s="8" t="s">
        <v>246</v>
      </c>
      <c r="D21" s="5" t="s">
        <v>275</v>
      </c>
      <c r="E21" s="5" t="s">
        <v>276</v>
      </c>
    </row>
    <row r="22" ht="14.5" spans="1:5">
      <c r="A22" s="5" t="s">
        <v>277</v>
      </c>
      <c r="B22" s="5" t="s">
        <v>278</v>
      </c>
      <c r="C22" s="8" t="s">
        <v>246</v>
      </c>
      <c r="D22" s="5" t="s">
        <v>279</v>
      </c>
      <c r="E22" s="5" t="s">
        <v>280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40" customWidth="1"/>
    <col min="2" max="2" width="52" customWidth="1"/>
    <col min="3" max="3" width="40" customWidth="1"/>
  </cols>
  <sheetData>
    <row r="1" ht="22.5" spans="1:3">
      <c r="A1" s="1" t="s">
        <v>281</v>
      </c>
    </row>
    <row r="2" ht="14.5" spans="1:3">
      <c r="A2" s="2" t="s">
        <v>282</v>
      </c>
    </row>
    <row r="3" ht="16.5" spans="1:3">
      <c r="A3" s="3" t="s">
        <v>283</v>
      </c>
    </row>
    <row r="4" ht="14.5" spans="1:3">
      <c r="A4" s="4" t="s">
        <v>284</v>
      </c>
      <c r="B4" s="5" t="s">
        <v>285</v>
      </c>
      <c r="C4" s="6" t="s">
        <v>286</v>
      </c>
    </row>
    <row r="5" ht="14.5" spans="1:3">
      <c r="A5" s="4" t="s">
        <v>287</v>
      </c>
      <c r="B5" s="5" t="s">
        <v>288</v>
      </c>
      <c r="C5" s="6" t="s">
        <v>289</v>
      </c>
    </row>
    <row r="6" ht="14.5" spans="1:3">
      <c r="A6" s="4" t="s">
        <v>290</v>
      </c>
      <c r="B6" s="5" t="s">
        <v>291</v>
      </c>
      <c r="C6" s="6" t="s">
        <v>292</v>
      </c>
    </row>
    <row r="7" ht="14.5" spans="1:3">
      <c r="A7" s="4" t="s">
        <v>293</v>
      </c>
      <c r="B7" s="5" t="s">
        <v>166</v>
      </c>
      <c r="C7" s="6" t="s">
        <v>294</v>
      </c>
    </row>
    <row r="8" ht="14.5" spans="1:3">
      <c r="A8" s="4" t="s">
        <v>295</v>
      </c>
      <c r="B8" s="5" t="s">
        <v>296</v>
      </c>
      <c r="C8" s="6" t="s">
        <v>297</v>
      </c>
    </row>
    <row r="9" ht="14.5" spans="1:3">
      <c r="A9" s="4" t="s">
        <v>298</v>
      </c>
      <c r="B9" s="5" t="s">
        <v>187</v>
      </c>
      <c r="C9" s="6" t="s">
        <v>299</v>
      </c>
    </row>
    <row r="10" ht="14.5" spans="1:3">
      <c r="A10" s="4" t="s">
        <v>300</v>
      </c>
      <c r="B10" s="5" t="s">
        <v>296</v>
      </c>
      <c r="C10" s="6" t="s">
        <v>301</v>
      </c>
    </row>
    <row r="11" ht="14.5" spans="1:3">
      <c r="A11" s="4" t="s">
        <v>302</v>
      </c>
      <c r="B11" s="5" t="s">
        <v>200</v>
      </c>
      <c r="C11" s="6" t="s">
        <v>303</v>
      </c>
    </row>
    <row r="12" ht="29" spans="1:3">
      <c r="A12" s="4" t="s">
        <v>304</v>
      </c>
      <c r="B12" s="5" t="s">
        <v>305</v>
      </c>
      <c r="C12" s="6" t="s">
        <v>306</v>
      </c>
    </row>
    <row r="13" ht="14.5" spans="1:3">
      <c r="A13" s="4" t="s">
        <v>307</v>
      </c>
      <c r="B13" s="5" t="s">
        <v>308</v>
      </c>
      <c r="C13" s="6" t="s">
        <v>309</v>
      </c>
    </row>
    <row r="14" ht="14.5" spans="1:3">
      <c r="A14" s="4" t="s">
        <v>310</v>
      </c>
      <c r="B14" s="5" t="s">
        <v>311</v>
      </c>
      <c r="C14" s="6" t="s">
        <v>312</v>
      </c>
    </row>
    <row r="15" ht="14.5" spans="1:3">
      <c r="A15" s="4" t="s">
        <v>313</v>
      </c>
      <c r="B15" s="5" t="s">
        <v>244</v>
      </c>
      <c r="C15" s="6" t="s">
        <v>314</v>
      </c>
    </row>
    <row r="16" ht="14.5" spans="1:3">
      <c r="A16" s="4" t="s">
        <v>315</v>
      </c>
      <c r="B16" s="5" t="s">
        <v>316</v>
      </c>
      <c r="C16" s="6" t="s">
        <v>317</v>
      </c>
    </row>
    <row r="18" ht="16.5" spans="1:3">
      <c r="A18" s="3" t="s">
        <v>318</v>
      </c>
    </row>
    <row r="19" ht="14.5" spans="1:3">
      <c r="A19" s="4" t="s">
        <v>284</v>
      </c>
      <c r="B19" s="5" t="s">
        <v>319</v>
      </c>
      <c r="C19" s="6" t="s">
        <v>286</v>
      </c>
    </row>
    <row r="20" ht="14.5" spans="1:3">
      <c r="A20" s="4" t="s">
        <v>287</v>
      </c>
      <c r="B20" s="5" t="s">
        <v>320</v>
      </c>
      <c r="C20" s="6" t="s">
        <v>289</v>
      </c>
    </row>
    <row r="21" ht="14.5" spans="1:3">
      <c r="A21" s="4" t="s">
        <v>290</v>
      </c>
      <c r="B21" s="5" t="s">
        <v>321</v>
      </c>
      <c r="C21" s="6" t="s">
        <v>322</v>
      </c>
    </row>
    <row r="22" ht="14.5" spans="1:3">
      <c r="A22" s="4" t="s">
        <v>293</v>
      </c>
      <c r="B22" s="5" t="s">
        <v>166</v>
      </c>
      <c r="C22" s="6" t="s">
        <v>294</v>
      </c>
    </row>
    <row r="23" ht="14.5" spans="1:3">
      <c r="A23" s="4" t="s">
        <v>295</v>
      </c>
      <c r="B23" s="5" t="s">
        <v>323</v>
      </c>
      <c r="C23" s="6" t="s">
        <v>297</v>
      </c>
    </row>
    <row r="24" ht="14.5" spans="1:3">
      <c r="A24" s="4" t="s">
        <v>298</v>
      </c>
      <c r="B24" s="5" t="s">
        <v>189</v>
      </c>
      <c r="C24" s="6" t="s">
        <v>324</v>
      </c>
    </row>
    <row r="25" ht="14.5" spans="1:3">
      <c r="A25" s="4" t="s">
        <v>300</v>
      </c>
      <c r="B25" s="5" t="s">
        <v>325</v>
      </c>
      <c r="C25" s="6" t="s">
        <v>326</v>
      </c>
    </row>
    <row r="26" ht="14.5" spans="1:3">
      <c r="A26" s="4" t="s">
        <v>302</v>
      </c>
      <c r="B26" s="5" t="s">
        <v>205</v>
      </c>
      <c r="C26" s="6" t="s">
        <v>327</v>
      </c>
    </row>
    <row r="27" ht="14.5" spans="1:3">
      <c r="A27" s="4" t="s">
        <v>304</v>
      </c>
      <c r="B27" s="5" t="s">
        <v>328</v>
      </c>
      <c r="C27" s="6" t="s">
        <v>329</v>
      </c>
    </row>
    <row r="28" ht="14.5" spans="1:3">
      <c r="A28" s="4" t="s">
        <v>307</v>
      </c>
      <c r="B28" s="5" t="s">
        <v>308</v>
      </c>
      <c r="C28" s="6" t="s">
        <v>309</v>
      </c>
    </row>
    <row r="29" ht="14.5" spans="1:3">
      <c r="A29" s="4" t="s">
        <v>310</v>
      </c>
      <c r="B29" s="5" t="s">
        <v>296</v>
      </c>
      <c r="C29" s="6" t="s">
        <v>330</v>
      </c>
    </row>
    <row r="30" ht="14.5" spans="1:3">
      <c r="A30" s="4" t="s">
        <v>331</v>
      </c>
      <c r="B30" s="5" t="s">
        <v>332</v>
      </c>
      <c r="C30" s="6" t="s">
        <v>333</v>
      </c>
    </row>
    <row r="31" ht="14.5" spans="1:3">
      <c r="A31" s="4" t="s">
        <v>313</v>
      </c>
      <c r="B31" s="5" t="s">
        <v>249</v>
      </c>
      <c r="C31" s="6" t="s">
        <v>334</v>
      </c>
    </row>
    <row r="32" ht="43.5" spans="1:3">
      <c r="A32" s="4" t="s">
        <v>315</v>
      </c>
      <c r="B32" s="5" t="s">
        <v>335</v>
      </c>
      <c r="C32" s="6" t="s">
        <v>317</v>
      </c>
    </row>
    <row r="34" ht="16.5" spans="1:3">
      <c r="A34" s="3" t="s">
        <v>336</v>
      </c>
    </row>
    <row r="35" ht="14.5" spans="1:3">
      <c r="A35" s="4" t="s">
        <v>284</v>
      </c>
      <c r="B35" s="5" t="s">
        <v>337</v>
      </c>
      <c r="C35" s="6" t="s">
        <v>286</v>
      </c>
    </row>
    <row r="36" ht="14.5" spans="1:3">
      <c r="A36" s="4" t="s">
        <v>287</v>
      </c>
      <c r="B36" s="5" t="s">
        <v>338</v>
      </c>
      <c r="C36" s="6" t="s">
        <v>289</v>
      </c>
    </row>
    <row r="37" ht="14.5" spans="1:3">
      <c r="A37" s="4" t="s">
        <v>290</v>
      </c>
      <c r="B37" s="5" t="s">
        <v>321</v>
      </c>
      <c r="C37" s="6" t="s">
        <v>322</v>
      </c>
    </row>
    <row r="38" ht="14.5" spans="1:3">
      <c r="A38" s="4" t="s">
        <v>293</v>
      </c>
      <c r="B38" s="5" t="s">
        <v>171</v>
      </c>
      <c r="C38" s="6" t="s">
        <v>339</v>
      </c>
    </row>
    <row r="39" ht="14.5" spans="1:3">
      <c r="A39" s="4" t="s">
        <v>295</v>
      </c>
      <c r="B39" s="5" t="s">
        <v>323</v>
      </c>
      <c r="C39" s="6" t="s">
        <v>297</v>
      </c>
    </row>
    <row r="40" ht="14.5" spans="1:3">
      <c r="A40" s="4" t="s">
        <v>298</v>
      </c>
      <c r="B40" s="5" t="s">
        <v>189</v>
      </c>
      <c r="C40" s="6" t="s">
        <v>324</v>
      </c>
    </row>
    <row r="41" ht="14.5" spans="1:3">
      <c r="A41" s="4" t="s">
        <v>300</v>
      </c>
      <c r="B41" s="5" t="s">
        <v>319</v>
      </c>
      <c r="C41" s="6" t="s">
        <v>326</v>
      </c>
    </row>
    <row r="42" ht="14.5" spans="1:3">
      <c r="A42" s="4" t="s">
        <v>302</v>
      </c>
      <c r="B42" s="5" t="s">
        <v>209</v>
      </c>
      <c r="C42" s="6" t="s">
        <v>340</v>
      </c>
    </row>
    <row r="43" ht="14.5" spans="1:3">
      <c r="A43" s="4" t="s">
        <v>304</v>
      </c>
      <c r="B43" s="5" t="s">
        <v>341</v>
      </c>
      <c r="C43" s="6" t="s">
        <v>306</v>
      </c>
    </row>
    <row r="44" ht="14.5" spans="1:3">
      <c r="A44" s="4" t="s">
        <v>307</v>
      </c>
      <c r="B44" s="5" t="s">
        <v>308</v>
      </c>
      <c r="C44" s="6" t="s">
        <v>309</v>
      </c>
    </row>
    <row r="45" ht="14.5" spans="1:3">
      <c r="A45" s="4" t="s">
        <v>310</v>
      </c>
      <c r="B45" s="5" t="s">
        <v>311</v>
      </c>
      <c r="C45" s="6" t="s">
        <v>342</v>
      </c>
    </row>
    <row r="46" ht="14.5" spans="1:3">
      <c r="A46" s="4" t="s">
        <v>331</v>
      </c>
      <c r="B46" s="5" t="s">
        <v>343</v>
      </c>
      <c r="C46" s="6" t="s">
        <v>344</v>
      </c>
    </row>
    <row r="47" ht="14.5" spans="1:3">
      <c r="A47" s="4" t="s">
        <v>313</v>
      </c>
      <c r="B47" s="5" t="s">
        <v>253</v>
      </c>
      <c r="C47" s="6" t="s">
        <v>345</v>
      </c>
    </row>
    <row r="48" ht="14.5" spans="1:3">
      <c r="A48" s="4" t="s">
        <v>315</v>
      </c>
      <c r="B48" s="5" t="s">
        <v>346</v>
      </c>
      <c r="C48" s="6" t="s">
        <v>347</v>
      </c>
    </row>
    <row r="50" ht="16.5" spans="1:3">
      <c r="A50" s="3" t="s">
        <v>348</v>
      </c>
    </row>
    <row r="51" ht="14.5" spans="1:3">
      <c r="A51" s="4" t="s">
        <v>284</v>
      </c>
      <c r="B51" s="5" t="s">
        <v>349</v>
      </c>
      <c r="C51" s="6" t="s">
        <v>286</v>
      </c>
    </row>
    <row r="52" ht="14.5" spans="1:3">
      <c r="A52" s="4" t="s">
        <v>287</v>
      </c>
      <c r="B52" s="5" t="s">
        <v>350</v>
      </c>
      <c r="C52" s="6" t="s">
        <v>289</v>
      </c>
    </row>
    <row r="53" ht="14.5" spans="1:3">
      <c r="A53" s="4" t="s">
        <v>290</v>
      </c>
      <c r="B53" s="5" t="s">
        <v>351</v>
      </c>
      <c r="C53" s="6" t="s">
        <v>352</v>
      </c>
    </row>
    <row r="54" ht="14.5" spans="1:3">
      <c r="A54" s="4" t="s">
        <v>293</v>
      </c>
      <c r="B54" s="5" t="s">
        <v>174</v>
      </c>
      <c r="C54" s="6" t="s">
        <v>353</v>
      </c>
    </row>
    <row r="55" ht="14.5" spans="1:3">
      <c r="A55" s="4" t="s">
        <v>295</v>
      </c>
      <c r="B55" s="5" t="s">
        <v>323</v>
      </c>
      <c r="C55" s="6" t="s">
        <v>297</v>
      </c>
    </row>
    <row r="56" ht="14.5" spans="1:3">
      <c r="A56" s="4" t="s">
        <v>298</v>
      </c>
      <c r="B56" s="5" t="s">
        <v>191</v>
      </c>
      <c r="C56" s="6" t="s">
        <v>354</v>
      </c>
    </row>
    <row r="57" ht="43.5" spans="1:3">
      <c r="A57" s="4" t="s">
        <v>355</v>
      </c>
      <c r="B57" s="5" t="s">
        <v>192</v>
      </c>
      <c r="C57" s="6" t="s">
        <v>356</v>
      </c>
    </row>
    <row r="58" ht="14.5" spans="1:3">
      <c r="A58" s="4" t="s">
        <v>300</v>
      </c>
      <c r="B58" s="5" t="s">
        <v>325</v>
      </c>
      <c r="C58" s="6" t="s">
        <v>326</v>
      </c>
    </row>
    <row r="59" ht="14.5" spans="1:3">
      <c r="A59" s="4" t="s">
        <v>302</v>
      </c>
      <c r="B59" s="5" t="s">
        <v>213</v>
      </c>
      <c r="C59" s="6" t="s">
        <v>357</v>
      </c>
    </row>
    <row r="60" ht="14.5" spans="1:3">
      <c r="A60" s="4" t="s">
        <v>304</v>
      </c>
      <c r="B60" s="5" t="s">
        <v>358</v>
      </c>
      <c r="C60" s="6" t="s">
        <v>359</v>
      </c>
    </row>
    <row r="61" ht="14.5" spans="1:3">
      <c r="A61" s="4" t="s">
        <v>307</v>
      </c>
      <c r="B61" s="5" t="s">
        <v>360</v>
      </c>
      <c r="C61" s="6" t="s">
        <v>361</v>
      </c>
    </row>
    <row r="62" ht="14.5" spans="1:3">
      <c r="A62" s="4" t="s">
        <v>313</v>
      </c>
      <c r="B62" s="5" t="s">
        <v>257</v>
      </c>
      <c r="C62" s="6" t="s">
        <v>362</v>
      </c>
    </row>
    <row r="63" ht="14.5" spans="1:3">
      <c r="A63" s="4" t="s">
        <v>315</v>
      </c>
      <c r="B63" s="5" t="s">
        <v>363</v>
      </c>
      <c r="C63" s="6" t="s">
        <v>317</v>
      </c>
    </row>
    <row r="65" ht="16.5" spans="1:3">
      <c r="A65" s="3" t="s">
        <v>364</v>
      </c>
    </row>
    <row r="66" ht="14.5" spans="1:3">
      <c r="A66" s="4" t="s">
        <v>284</v>
      </c>
      <c r="B66" s="5" t="s">
        <v>365</v>
      </c>
      <c r="C66" s="6" t="s">
        <v>366</v>
      </c>
    </row>
    <row r="67" ht="14.5" spans="1:3">
      <c r="A67" s="4" t="s">
        <v>287</v>
      </c>
      <c r="B67" s="5" t="s">
        <v>367</v>
      </c>
      <c r="C67" s="6" t="s">
        <v>289</v>
      </c>
    </row>
    <row r="68" ht="14.5" spans="1:3">
      <c r="A68" s="4" t="s">
        <v>290</v>
      </c>
      <c r="B68" s="5" t="s">
        <v>368</v>
      </c>
      <c r="C68" s="6" t="s">
        <v>369</v>
      </c>
    </row>
    <row r="69" ht="14.5" spans="1:3">
      <c r="A69" s="4" t="s">
        <v>293</v>
      </c>
      <c r="B69" s="5" t="s">
        <v>166</v>
      </c>
      <c r="C69" s="6" t="s">
        <v>294</v>
      </c>
    </row>
    <row r="70" ht="14.5" spans="1:3">
      <c r="A70" s="4" t="s">
        <v>295</v>
      </c>
      <c r="B70" s="5" t="s">
        <v>296</v>
      </c>
      <c r="C70" s="6" t="s">
        <v>297</v>
      </c>
    </row>
    <row r="71" ht="14.5" spans="1:3">
      <c r="A71" s="4" t="s">
        <v>298</v>
      </c>
      <c r="B71" s="5" t="s">
        <v>189</v>
      </c>
      <c r="C71" s="6" t="s">
        <v>370</v>
      </c>
    </row>
    <row r="72" ht="14.5" spans="1:3">
      <c r="A72" s="4" t="s">
        <v>300</v>
      </c>
      <c r="B72" s="5" t="s">
        <v>323</v>
      </c>
      <c r="C72" s="6" t="s">
        <v>371</v>
      </c>
    </row>
    <row r="73" ht="14.5" spans="1:3">
      <c r="A73" s="4" t="s">
        <v>372</v>
      </c>
      <c r="B73" s="5" t="s">
        <v>373</v>
      </c>
      <c r="C73" s="6" t="s">
        <v>374</v>
      </c>
    </row>
    <row r="74" ht="14.5" spans="1:3">
      <c r="A74" s="4" t="s">
        <v>375</v>
      </c>
      <c r="B74" s="5" t="s">
        <v>296</v>
      </c>
      <c r="C74" s="6" t="s">
        <v>376</v>
      </c>
    </row>
    <row r="75" ht="14.5" spans="1:3">
      <c r="A75" s="4" t="s">
        <v>377</v>
      </c>
      <c r="B75" s="5" t="s">
        <v>167</v>
      </c>
      <c r="C75" s="6" t="s">
        <v>378</v>
      </c>
    </row>
    <row r="76" ht="14.5" spans="1:3">
      <c r="A76" s="4" t="s">
        <v>307</v>
      </c>
      <c r="B76" s="5" t="s">
        <v>308</v>
      </c>
      <c r="C76" s="6" t="s">
        <v>309</v>
      </c>
    </row>
    <row r="77" ht="14.5" spans="1:3">
      <c r="A77" s="4" t="s">
        <v>310</v>
      </c>
      <c r="B77" s="5" t="s">
        <v>311</v>
      </c>
      <c r="C77" s="6" t="s">
        <v>379</v>
      </c>
    </row>
    <row r="78" ht="14.5" spans="1:3">
      <c r="A78" s="4" t="s">
        <v>313</v>
      </c>
      <c r="B78" s="5" t="s">
        <v>261</v>
      </c>
      <c r="C78" s="6" t="s">
        <v>380</v>
      </c>
    </row>
    <row r="79" ht="29" spans="1:3">
      <c r="A79" s="4" t="s">
        <v>315</v>
      </c>
      <c r="B79" s="5" t="s">
        <v>381</v>
      </c>
      <c r="C79" s="6" t="s">
        <v>317</v>
      </c>
    </row>
    <row r="81" ht="16.5" spans="1:3">
      <c r="A81" s="3" t="s">
        <v>382</v>
      </c>
    </row>
    <row r="82" ht="14.5" spans="1:3">
      <c r="A82" s="4" t="s">
        <v>284</v>
      </c>
      <c r="B82" s="5" t="s">
        <v>383</v>
      </c>
      <c r="C82" s="6" t="s">
        <v>286</v>
      </c>
    </row>
    <row r="83" ht="14.5" spans="1:3">
      <c r="A83" s="4" t="s">
        <v>287</v>
      </c>
      <c r="B83" s="5" t="s">
        <v>384</v>
      </c>
      <c r="C83" s="6" t="s">
        <v>289</v>
      </c>
    </row>
    <row r="84" ht="14.5" spans="1:3">
      <c r="A84" s="4" t="s">
        <v>290</v>
      </c>
      <c r="B84" s="5" t="s">
        <v>291</v>
      </c>
      <c r="C84" s="6" t="s">
        <v>385</v>
      </c>
    </row>
    <row r="85" ht="14.5" spans="1:3">
      <c r="A85" s="4" t="s">
        <v>293</v>
      </c>
      <c r="B85" s="5" t="s">
        <v>166</v>
      </c>
      <c r="C85" s="6" t="s">
        <v>294</v>
      </c>
    </row>
    <row r="86" ht="14.5" spans="1:3">
      <c r="A86" s="4" t="s">
        <v>295</v>
      </c>
      <c r="B86" s="5" t="s">
        <v>296</v>
      </c>
      <c r="C86" s="6" t="s">
        <v>297</v>
      </c>
    </row>
    <row r="87" ht="14.5" spans="1:3">
      <c r="A87" s="4" t="s">
        <v>298</v>
      </c>
      <c r="B87" s="5" t="s">
        <v>189</v>
      </c>
      <c r="C87" s="6" t="s">
        <v>386</v>
      </c>
    </row>
    <row r="88" ht="14.5" spans="1:3">
      <c r="A88" s="4" t="s">
        <v>300</v>
      </c>
      <c r="B88" s="5" t="s">
        <v>323</v>
      </c>
      <c r="C88" s="6" t="s">
        <v>326</v>
      </c>
    </row>
    <row r="89" ht="14.5" spans="1:3">
      <c r="A89" s="4" t="s">
        <v>302</v>
      </c>
      <c r="B89" s="5" t="s">
        <v>217</v>
      </c>
      <c r="C89" s="6" t="s">
        <v>387</v>
      </c>
    </row>
    <row r="90" ht="14.5" spans="1:3">
      <c r="A90" s="4" t="s">
        <v>304</v>
      </c>
      <c r="B90" s="5" t="s">
        <v>388</v>
      </c>
      <c r="C90" s="6" t="s">
        <v>389</v>
      </c>
    </row>
    <row r="91" ht="14.5" spans="1:3">
      <c r="A91" s="4" t="s">
        <v>307</v>
      </c>
      <c r="B91" s="5" t="s">
        <v>308</v>
      </c>
      <c r="C91" s="6" t="s">
        <v>309</v>
      </c>
    </row>
    <row r="92" ht="14.5" spans="1:3">
      <c r="A92" s="4" t="s">
        <v>310</v>
      </c>
      <c r="B92" s="5" t="s">
        <v>390</v>
      </c>
      <c r="C92" s="6" t="s">
        <v>391</v>
      </c>
    </row>
    <row r="93" ht="14.5" spans="1:3">
      <c r="A93" s="4" t="s">
        <v>313</v>
      </c>
      <c r="B93" s="5" t="s">
        <v>265</v>
      </c>
      <c r="C93" s="6" t="s">
        <v>392</v>
      </c>
    </row>
    <row r="94" ht="14.5" spans="1:3">
      <c r="A94" s="4" t="s">
        <v>315</v>
      </c>
      <c r="B94" s="5" t="s">
        <v>393</v>
      </c>
      <c r="C94" s="6" t="s">
        <v>394</v>
      </c>
    </row>
    <row r="96" ht="16.5" spans="1:3">
      <c r="A96" s="3" t="s">
        <v>395</v>
      </c>
    </row>
    <row r="97" ht="14.5" spans="1:3">
      <c r="A97" s="4" t="s">
        <v>284</v>
      </c>
      <c r="B97" s="5" t="s">
        <v>396</v>
      </c>
      <c r="C97" s="6" t="s">
        <v>286</v>
      </c>
    </row>
    <row r="98" ht="14.5" spans="1:3">
      <c r="A98" s="4" t="s">
        <v>287</v>
      </c>
      <c r="B98" s="5" t="s">
        <v>266</v>
      </c>
      <c r="C98" s="6" t="s">
        <v>397</v>
      </c>
    </row>
    <row r="99" ht="29" spans="1:3">
      <c r="A99" s="4" t="s">
        <v>398</v>
      </c>
      <c r="B99" s="5" t="s">
        <v>373</v>
      </c>
      <c r="C99" s="6" t="s">
        <v>399</v>
      </c>
    </row>
    <row r="100" ht="14.5" spans="1:3">
      <c r="A100" s="4" t="s">
        <v>400</v>
      </c>
      <c r="B100" s="5" t="s">
        <v>401</v>
      </c>
      <c r="C100" s="6" t="s">
        <v>402</v>
      </c>
    </row>
    <row r="101" ht="14.5" spans="1:3">
      <c r="A101" s="4" t="s">
        <v>290</v>
      </c>
      <c r="B101" s="5" t="s">
        <v>403</v>
      </c>
      <c r="C101" s="6" t="s">
        <v>404</v>
      </c>
    </row>
    <row r="102" ht="14.5" spans="1:3">
      <c r="A102" s="4" t="s">
        <v>295</v>
      </c>
      <c r="B102" s="5" t="s">
        <v>405</v>
      </c>
      <c r="C102" s="6" t="s">
        <v>406</v>
      </c>
    </row>
    <row r="103" ht="14.5" spans="1:3">
      <c r="A103" s="4" t="s">
        <v>300</v>
      </c>
      <c r="B103" s="5" t="s">
        <v>319</v>
      </c>
      <c r="C103" s="6" t="s">
        <v>407</v>
      </c>
    </row>
    <row r="104" ht="14.5" spans="1:3">
      <c r="A104" s="4" t="s">
        <v>302</v>
      </c>
      <c r="B104" s="5" t="s">
        <v>221</v>
      </c>
      <c r="C104" s="6" t="s">
        <v>408</v>
      </c>
    </row>
    <row r="105" ht="29" spans="1:3">
      <c r="A105" s="4" t="s">
        <v>304</v>
      </c>
      <c r="B105" s="5" t="s">
        <v>409</v>
      </c>
      <c r="C105" s="6" t="s">
        <v>410</v>
      </c>
    </row>
    <row r="106" ht="14.5" spans="1:3">
      <c r="A106" s="4" t="s">
        <v>411</v>
      </c>
      <c r="B106" s="5" t="s">
        <v>167</v>
      </c>
      <c r="C106" s="6" t="s">
        <v>412</v>
      </c>
    </row>
    <row r="108" ht="16.5" spans="1:3">
      <c r="A108" s="3" t="s">
        <v>413</v>
      </c>
    </row>
    <row r="109" ht="14.5" spans="1:3">
      <c r="A109" s="4" t="s">
        <v>284</v>
      </c>
      <c r="B109" s="5" t="s">
        <v>414</v>
      </c>
      <c r="C109" s="6" t="s">
        <v>286</v>
      </c>
    </row>
    <row r="110" ht="14.5" spans="1:3">
      <c r="A110" s="4" t="s">
        <v>287</v>
      </c>
      <c r="B110" s="5" t="s">
        <v>415</v>
      </c>
      <c r="C110" s="6" t="s">
        <v>289</v>
      </c>
    </row>
    <row r="111" ht="14.5" spans="1:3">
      <c r="A111" s="4" t="s">
        <v>290</v>
      </c>
      <c r="B111" s="5" t="s">
        <v>351</v>
      </c>
      <c r="C111" s="6" t="s">
        <v>352</v>
      </c>
    </row>
    <row r="112" ht="14.5" spans="1:3">
      <c r="A112" s="4" t="s">
        <v>293</v>
      </c>
      <c r="B112" s="5" t="s">
        <v>181</v>
      </c>
      <c r="C112" s="6" t="s">
        <v>416</v>
      </c>
    </row>
    <row r="113" ht="14.5" spans="1:3">
      <c r="A113" s="4" t="s">
        <v>295</v>
      </c>
      <c r="B113" s="5" t="s">
        <v>296</v>
      </c>
      <c r="C113" s="6" t="s">
        <v>297</v>
      </c>
    </row>
    <row r="114" ht="14.5" spans="1:3">
      <c r="A114" s="4" t="s">
        <v>298</v>
      </c>
      <c r="B114" s="5" t="s">
        <v>189</v>
      </c>
      <c r="C114" s="6" t="s">
        <v>386</v>
      </c>
    </row>
    <row r="115" ht="14.5" spans="1:3">
      <c r="A115" s="4" t="s">
        <v>300</v>
      </c>
      <c r="B115" s="5" t="s">
        <v>323</v>
      </c>
      <c r="C115" s="6" t="s">
        <v>326</v>
      </c>
    </row>
    <row r="116" ht="14.5" spans="1:3">
      <c r="A116" s="4" t="s">
        <v>302</v>
      </c>
      <c r="B116" s="5" t="s">
        <v>225</v>
      </c>
      <c r="C116" s="6" t="s">
        <v>417</v>
      </c>
    </row>
    <row r="117" ht="14.5" spans="1:3">
      <c r="A117" s="4" t="s">
        <v>304</v>
      </c>
      <c r="B117" s="5" t="s">
        <v>418</v>
      </c>
      <c r="C117" s="6" t="s">
        <v>419</v>
      </c>
    </row>
    <row r="118" ht="14.5" spans="1:3">
      <c r="A118" s="4" t="s">
        <v>307</v>
      </c>
      <c r="B118" s="5" t="s">
        <v>308</v>
      </c>
      <c r="C118" s="6" t="s">
        <v>309</v>
      </c>
    </row>
    <row r="119" ht="14.5" spans="1:3">
      <c r="A119" s="4" t="s">
        <v>310</v>
      </c>
      <c r="B119" s="5" t="s">
        <v>390</v>
      </c>
      <c r="C119" s="6" t="s">
        <v>330</v>
      </c>
    </row>
    <row r="120" ht="14.5" spans="1:3">
      <c r="A120" s="4" t="s">
        <v>313</v>
      </c>
      <c r="B120" s="5" t="s">
        <v>269</v>
      </c>
      <c r="C120" s="6" t="s">
        <v>420</v>
      </c>
    </row>
    <row r="121" ht="14.5" spans="1:3">
      <c r="A121" s="4" t="s">
        <v>315</v>
      </c>
      <c r="B121" s="5" t="s">
        <v>421</v>
      </c>
      <c r="C121" s="6" t="s">
        <v>422</v>
      </c>
    </row>
    <row r="123" ht="16.5" spans="1:3">
      <c r="A123" s="3" t="s">
        <v>423</v>
      </c>
    </row>
    <row r="124" ht="14.5" spans="1:3">
      <c r="A124" s="4" t="s">
        <v>284</v>
      </c>
      <c r="B124" s="5" t="s">
        <v>424</v>
      </c>
      <c r="C124" s="6" t="s">
        <v>286</v>
      </c>
    </row>
    <row r="125" ht="14.5" spans="1:3">
      <c r="A125" s="4" t="s">
        <v>287</v>
      </c>
      <c r="B125" s="5" t="s">
        <v>425</v>
      </c>
      <c r="C125" s="6" t="s">
        <v>289</v>
      </c>
    </row>
    <row r="126" ht="14.5" spans="1:3">
      <c r="A126" s="4" t="s">
        <v>290</v>
      </c>
      <c r="B126" s="5" t="s">
        <v>368</v>
      </c>
      <c r="C126" s="6" t="s">
        <v>369</v>
      </c>
    </row>
    <row r="127" ht="14.5" spans="1:3">
      <c r="A127" s="4" t="s">
        <v>293</v>
      </c>
      <c r="B127" s="5" t="s">
        <v>166</v>
      </c>
      <c r="C127" s="6" t="s">
        <v>294</v>
      </c>
    </row>
    <row r="128" ht="14.5" spans="1:3">
      <c r="A128" s="4" t="s">
        <v>295</v>
      </c>
      <c r="B128" s="5" t="s">
        <v>296</v>
      </c>
      <c r="C128" s="6" t="s">
        <v>297</v>
      </c>
    </row>
    <row r="129" ht="14.5" spans="1:3">
      <c r="A129" s="4" t="s">
        <v>298</v>
      </c>
      <c r="B129" s="5" t="s">
        <v>189</v>
      </c>
      <c r="C129" s="6" t="s">
        <v>324</v>
      </c>
    </row>
    <row r="130" ht="14.5" spans="1:3">
      <c r="A130" s="4" t="s">
        <v>300</v>
      </c>
      <c r="B130" s="5" t="s">
        <v>296</v>
      </c>
      <c r="C130" s="6" t="s">
        <v>326</v>
      </c>
    </row>
    <row r="131" ht="14.5" spans="1:3">
      <c r="A131" s="4" t="s">
        <v>302</v>
      </c>
      <c r="B131" s="5" t="s">
        <v>229</v>
      </c>
      <c r="C131" s="6" t="s">
        <v>426</v>
      </c>
    </row>
    <row r="132" ht="14.5" spans="1:3">
      <c r="A132" s="4" t="s">
        <v>304</v>
      </c>
      <c r="B132" s="5" t="s">
        <v>427</v>
      </c>
      <c r="C132" s="6" t="s">
        <v>428</v>
      </c>
    </row>
    <row r="133" ht="14.5" spans="1:3">
      <c r="A133" s="4" t="s">
        <v>429</v>
      </c>
      <c r="B133" s="5" t="s">
        <v>233</v>
      </c>
      <c r="C133" s="6" t="s">
        <v>430</v>
      </c>
    </row>
    <row r="134" ht="14.5" spans="1:3">
      <c r="A134" s="4" t="s">
        <v>431</v>
      </c>
      <c r="B134" s="5" t="s">
        <v>432</v>
      </c>
      <c r="C134" s="6" t="s">
        <v>433</v>
      </c>
    </row>
    <row r="135" ht="14.5" spans="1:3">
      <c r="A135" s="4" t="s">
        <v>307</v>
      </c>
      <c r="B135" s="5" t="s">
        <v>360</v>
      </c>
      <c r="C135" s="6" t="s">
        <v>361</v>
      </c>
    </row>
    <row r="136" ht="14.5" spans="1:3">
      <c r="A136" s="4" t="s">
        <v>313</v>
      </c>
      <c r="B136" s="5" t="s">
        <v>273</v>
      </c>
      <c r="C136" s="6" t="s">
        <v>434</v>
      </c>
    </row>
    <row r="137" ht="29" spans="1:3">
      <c r="A137" s="4" t="s">
        <v>315</v>
      </c>
      <c r="B137" s="5" t="s">
        <v>435</v>
      </c>
      <c r="C137" s="6" t="s">
        <v>317</v>
      </c>
    </row>
    <row r="139" ht="16.5" spans="1:3">
      <c r="A139" s="3" t="s">
        <v>436</v>
      </c>
    </row>
    <row r="140" ht="14.5" spans="1:3">
      <c r="A140" s="4" t="s">
        <v>284</v>
      </c>
      <c r="B140" s="5" t="s">
        <v>437</v>
      </c>
      <c r="C140" s="6" t="s">
        <v>286</v>
      </c>
    </row>
    <row r="141" ht="14.5" spans="1:3">
      <c r="A141" s="4" t="s">
        <v>287</v>
      </c>
      <c r="B141" s="5" t="s">
        <v>438</v>
      </c>
      <c r="C141" s="6" t="s">
        <v>289</v>
      </c>
    </row>
    <row r="142" ht="14.5" spans="1:3">
      <c r="A142" s="4" t="s">
        <v>290</v>
      </c>
      <c r="B142" s="5" t="s">
        <v>321</v>
      </c>
      <c r="C142" s="6" t="s">
        <v>322</v>
      </c>
    </row>
    <row r="143" ht="14.5" spans="1:3">
      <c r="A143" s="4" t="s">
        <v>293</v>
      </c>
      <c r="B143" s="5" t="s">
        <v>166</v>
      </c>
      <c r="C143" s="6" t="s">
        <v>294</v>
      </c>
    </row>
    <row r="144" ht="14.5" spans="1:3">
      <c r="A144" s="4" t="s">
        <v>295</v>
      </c>
      <c r="B144" s="5" t="s">
        <v>296</v>
      </c>
      <c r="C144" s="6" t="s">
        <v>297</v>
      </c>
    </row>
    <row r="145" ht="14.5" spans="1:3">
      <c r="A145" s="4" t="s">
        <v>298</v>
      </c>
      <c r="B145" s="5" t="s">
        <v>189</v>
      </c>
      <c r="C145" s="6" t="s">
        <v>324</v>
      </c>
    </row>
    <row r="146" ht="14.5" spans="1:3">
      <c r="A146" s="4" t="s">
        <v>300</v>
      </c>
      <c r="B146" s="5" t="s">
        <v>296</v>
      </c>
      <c r="C146" s="6" t="s">
        <v>326</v>
      </c>
    </row>
    <row r="147" ht="14.5" spans="1:3">
      <c r="A147" s="4" t="s">
        <v>302</v>
      </c>
      <c r="B147" s="5" t="s">
        <v>236</v>
      </c>
      <c r="C147" s="6" t="s">
        <v>439</v>
      </c>
    </row>
    <row r="148" ht="14.5" spans="1:3">
      <c r="A148" s="4" t="s">
        <v>304</v>
      </c>
      <c r="B148" s="5" t="s">
        <v>440</v>
      </c>
      <c r="C148" s="6" t="s">
        <v>441</v>
      </c>
    </row>
    <row r="149" ht="14.5" spans="1:3">
      <c r="A149" s="4" t="s">
        <v>429</v>
      </c>
      <c r="B149" s="5" t="s">
        <v>240</v>
      </c>
      <c r="C149" s="6" t="s">
        <v>442</v>
      </c>
    </row>
    <row r="150" ht="14.5" spans="1:3">
      <c r="A150" s="4" t="s">
        <v>431</v>
      </c>
      <c r="B150" s="5" t="s">
        <v>443</v>
      </c>
      <c r="C150" s="6" t="s">
        <v>444</v>
      </c>
    </row>
    <row r="151" ht="14.5" spans="1:3">
      <c r="A151" s="4" t="s">
        <v>307</v>
      </c>
      <c r="B151" s="5" t="s">
        <v>308</v>
      </c>
      <c r="C151" s="6" t="s">
        <v>309</v>
      </c>
    </row>
    <row r="152" ht="14.5" spans="1:3">
      <c r="A152" s="4" t="s">
        <v>310</v>
      </c>
      <c r="B152" s="5" t="s">
        <v>296</v>
      </c>
      <c r="C152" s="6" t="s">
        <v>330</v>
      </c>
    </row>
    <row r="153" ht="14.5" spans="1:3">
      <c r="A153" s="4" t="s">
        <v>313</v>
      </c>
      <c r="B153" s="5" t="s">
        <v>277</v>
      </c>
      <c r="C153" s="6" t="s">
        <v>445</v>
      </c>
    </row>
    <row r="154" ht="14.5" spans="1:3">
      <c r="A154" s="4" t="s">
        <v>315</v>
      </c>
      <c r="B154" s="5" t="s">
        <v>446</v>
      </c>
      <c r="C154" s="6" t="s">
        <v>317</v>
      </c>
    </row>
  </sheetData>
  <mergeCells count="12">
    <mergeCell ref="A1:C1"/>
    <mergeCell ref="A2:C2"/>
    <mergeCell ref="A3:C3"/>
    <mergeCell ref="A18:C18"/>
    <mergeCell ref="A34:C34"/>
    <mergeCell ref="A50:C50"/>
    <mergeCell ref="A65:C65"/>
    <mergeCell ref="A81:C81"/>
    <mergeCell ref="A96:C96"/>
    <mergeCell ref="A108:C108"/>
    <mergeCell ref="A123:C123"/>
    <mergeCell ref="A139:C1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棋子被动配置生成器</vt:lpstr>
      <vt:lpstr>棋子大招配置生成器</vt:lpstr>
      <vt:lpstr>移动配置生成器</vt:lpstr>
      <vt:lpstr>攻击配置生成器</vt:lpstr>
      <vt:lpstr>棋子效果速查</vt:lpstr>
      <vt:lpstr>棋子配置清单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2026-08-20T00:33:00Z</dcterms:created>
  <dcterms:modified xsi:type="dcterms:W3CDTF">2026-09-05T15:14:03Z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E21DDF3687F8479DA9ECD58D7AD27044_12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